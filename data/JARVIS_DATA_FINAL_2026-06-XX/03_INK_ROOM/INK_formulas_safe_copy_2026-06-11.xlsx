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0c176e2dbe40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mula_Summary" sheetId="1" r:id="R04ad7b08f6be4976"/>
    <x:sheet xmlns:r="http://schemas.openxmlformats.org/officeDocument/2006/relationships" name="Formula_Database" sheetId="2" r:id="R1a84f959dd5540bb"/>
    <x:sheet xmlns:r="http://schemas.openxmlformats.org/officeDocument/2006/relationships" name="Batch_Calculator" sheetId="3" r:id="Rf2a02f4bbf7d4d84"/>
    <x:sheet xmlns:r="http://schemas.openxmlformats.org/officeDocument/2006/relationships" name="Do_Not_Use_Notes" sheetId="4" r:id="Rbf0badba4fcb44aa"/>
    <x:sheet xmlns:r="http://schemas.openxmlformats.org/officeDocument/2006/relationships" name="README" sheetId="5" r:id="Rab5b9851b8484036"/>
    <x:sheet xmlns:r="http://schemas.openxmlformats.org/officeDocument/2006/relationships" name="Common_Batches" sheetId="6" r:id="Ra7169d20fa3c4f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FF2CC"/>
      </x:patternFill>
    </x:fill>
    <x:fill>
      <x:patternFill patternType="solid">
        <x:fgColor rgb="990000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200" fontId="3" fillId="2" borderId="0" xfId="0" applyNumberFormat="1" applyFont="1" applyFill="1" applyBorder="1" applyAlignment="1">
      <x:alignment horizontal="center" wrapText="1"/>
    </x:xf>
    <x:xf numFmtId="200" fontId="3" fillId="2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ill>
        <x:patternFill patternType="solid">
          <x:bgColor rgb="D9EAD3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52ffa86efc4eba" /><Relationship Type="http://schemas.openxmlformats.org/officeDocument/2006/relationships/theme" Target="/xl/theme/theme1.xml" Id="R3650aa684b644e96" /><Relationship Type="http://schemas.openxmlformats.org/officeDocument/2006/relationships/sharedStrings" Target="/xl/sharedStrings.xml" Id="Rcead1cf98e124add" /><Relationship Type="http://schemas.openxmlformats.org/officeDocument/2006/relationships/worksheet" Target="/xl/worksheets/sheet1.xml" Id="R04ad7b08f6be4976" /><Relationship Type="http://schemas.openxmlformats.org/officeDocument/2006/relationships/worksheet" Target="/xl/worksheets/sheet2.xml" Id="R1a84f959dd5540bb" /><Relationship Type="http://schemas.openxmlformats.org/officeDocument/2006/relationships/worksheet" Target="/xl/worksheets/sheet3.xml" Id="Rf2a02f4bbf7d4d84" /><Relationship Type="http://schemas.openxmlformats.org/officeDocument/2006/relationships/worksheet" Target="/xl/worksheets/sheet4.xml" Id="Rbf0badba4fcb44aa" /><Relationship Type="http://schemas.openxmlformats.org/officeDocument/2006/relationships/worksheet" Target="/xl/worksheets/sheet5.xml" Id="Rab5b9851b8484036" /><Relationship Type="http://schemas.openxmlformats.org/officeDocument/2006/relationships/worksheet" Target="/xl/worksheets/sheet6.xml" Id="Ra7169d20fa3c4f63" /></Relationships>
</file>

<file path=xl/tables/table1.xml><?xml version="1.0" encoding="utf-8"?>
<x:table xmlns:x="http://schemas.openxmlformats.org/spreadsheetml/2006/main" id="2" name="FormulaSummaryTable" displayName="FormulaSummaryTable" ref="A1:F13" headerRowCount="1">
  <x:tableColumns count="6">
    <x:tableColumn id="1" name="Pantone / Color"/>
    <x:tableColumn id="2" name="Use Type"/>
    <x:tableColumn id="3" name="Status"/>
    <x:tableColumn id="4" name="Formula Version"/>
    <x:tableColumn id="5" name="Formula Percent Components"/>
    <x:tableColumn id="6" name="Notes"/>
  </x:tableColumns>
  <x:tableStyleInfo name="TableStyleMedium2" showRowStripes="1"/>
</x:table>
</file>

<file path=xl/tables/table2.xml><?xml version="1.0" encoding="utf-8"?>
<x:table xmlns:x="http://schemas.openxmlformats.org/spreadsheetml/2006/main" id="1" name="FormulaDatabaseTable" displayName="FormulaDatabaseTable" ref="A1:H38" headerRowCount="1">
  <x:tableColumns count="8">
    <x:tableColumn id="1" name="Pantone / Color"/>
    <x:tableColumn id="2" name="Use Type"/>
    <x:tableColumn id="3" name="Status"/>
    <x:tableColumn id="4" name="Formula Version"/>
    <x:tableColumn id="5" name="Component"/>
    <x:tableColumn id="6" name="Percent"/>
    <x:tableColumn id="7" name="Component Role"/>
    <x:tableColumn id="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BatchCalculatorTable" displayName="BatchCalculatorTable" ref="A7:G44" headerRowCount="1">
  <x:tableColumns count="7">
    <x:tableColumn id="1" name="Pantone / Color"/>
    <x:tableColumn id="2" name="Status"/>
    <x:tableColumn id="3" name="Component"/>
    <x:tableColumn id="4" name="Percent"/>
    <x:tableColumn id="5" name="Batch lb"/>
    <x:tableColumn id="6" name="Amount lb"/>
    <x:tableColumn id="7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DoNotUseTable" displayName="DoNotUseTable" ref="A1:C6" headerRowCount="1">
  <x:tableColumns count="3">
    <x:tableColumn id="1" name="Color / Batch"/>
    <x:tableColumn id="2" name="Status"/>
    <x:tableColumn id="3" name="Reason / Safe Note"/>
  </x:tableColumns>
  <x:tableStyleInfo name="TableStyleMedium2" showRowStripes="1"/>
</x:table>
</file>

<file path=xl/tables/table5.xml><?xml version="1.0" encoding="utf-8"?>
<x:table xmlns:x="http://schemas.openxmlformats.org/spreadsheetml/2006/main" id="5" name="CommonBatchesTable" displayName="CommonBatchesTable" ref="A3:M40" headerRowCount="1">
  <x:tableColumns count="13">
    <x:tableColumn id="1" name="Pantone / Color"/>
    <x:tableColumn id="2" name="Status"/>
    <x:tableColumn id="3" name="Component"/>
    <x:tableColumn id="4" name="Percent"/>
    <x:tableColumn id="5" name="5 lb"/>
    <x:tableColumn id="6" name="10 lb"/>
    <x:tableColumn id="7" name="15 lb"/>
    <x:tableColumn id="8" name="20 lb"/>
    <x:tableColumn id="9" name="50 lb"/>
    <x:tableColumn id="10" name="100 lb"/>
    <x:tableColumn id="11" name="200 lb"/>
    <x:tableColumn id="12" name="300 lb"/>
    <x:tableColumn id="13" name="400 lb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fef183cb704c8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38d07beca9547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ff09063350443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7dfbbe2344a4d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094f276721642a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32" hidden="0" customWidth="1"/>
    <x:col min="5" max="5" width="55" hidden="0" customWidth="1"/>
    <x:col min="6" max="6" width="70" hidden="0" customWidth="1"/>
  </x:cols>
  <x:sheetData>
    <x:row r="1">
      <x:c r="A1" s="20" t="str">
        <x:v>Pantone / Color</x:v>
      </x:c>
      <x:c r="B1" s="20" t="str">
        <x:v>Use Type</x:v>
      </x:c>
      <x:c r="C1" s="20" t="str">
        <x:v>Status</x:v>
      </x:c>
      <x:c r="D1" s="20" t="str">
        <x:v>Formula Version</x:v>
      </x:c>
      <x:c r="E1" s="20" t="str">
        <x:v>Formula Percent Components</x:v>
      </x:c>
      <x:c r="F1" s="20" t="str">
        <x:v>Notes</x:v>
      </x:c>
    </x:row>
    <x:row r="2">
      <x:c r="A2" t="str">
        <x:v>2935 U</x:v>
      </x:c>
      <x:c r="B2" t="str">
        <x:v>Spot / large batch</x:v>
      </x:c>
      <x:c r="C2" t="str">
        <x:v>SAFE - system formula used</x:v>
      </x:c>
      <x:c r="D2" t="str">
        <x:v>2026-06-11 scale verified</x:v>
      </x:c>
      <x:c r="E2" t="str">
        <x:v>Blue 15:3: 53.095%; 23 Methyl Violet: 5.809%; Eclipse Black: 1.490%; Extender: 39.606%</x:v>
      </x:c>
      <x:c r="F2" t="str">
        <x:v>User reported formula looked good; scaled to 300 lb and 330 lb. | Use same percent for any batch size. | Do not increase black unless press requires.</x:v>
      </x:c>
    </x:row>
    <x:row r="3">
      <x:c r="A3" t="str">
        <x:v>299 U</x:v>
      </x:c>
      <x:c r="B3" t="str">
        <x:v>Spot</x:v>
      </x:c>
      <x:c r="C3" t="str">
        <x:v>SAFE - finalized shop formula</x:v>
      </x:c>
      <x:c r="D3" t="str">
        <x:v>Fresh formula after black-contaminated batch abandoned</x:v>
      </x:c>
      <x:c r="E3" t="str">
        <x:v>Extender: 80.520%; Blue 15:3: 17.970%; 23 Methyl Violet: 1.510%</x:v>
      </x:c>
      <x:c r="F3" t="str">
        <x:v>Finalized from clean test batch. No black. Avoid old mixer formula. | Old formula was too weak; black dirtied the color. This is the cleaner formula to save. | No black.</x:v>
      </x:c>
    </x:row>
    <x:row r="4">
      <x:c r="A4" t="str">
        <x:v>2001 U</x:v>
      </x:c>
      <x:c r="B4" t="str">
        <x:v>Flood</x:v>
      </x:c>
      <x:c r="C4" t="str">
        <x:v>SAFE - press-developed flood formula</x:v>
      </x:c>
      <x:c r="D4" t="str">
        <x:v>2026 flood simplified formula</x:v>
      </x:c>
      <x:c r="E4" t="str">
        <x:v>Extender: 90.910%; 23 Yellow 14: 9.090%</x:v>
      </x:c>
      <x:c r="F4" t="str">
        <x:v>User-reported final: 40 lb extender + 4 lb Yellow 23. | Use Process Yellow only if shop explicitly changes formula; final note was Yellow 23/14 + extender.</x:v>
      </x:c>
    </x:row>
    <x:row r="5">
      <x:c r="A5" t="str">
        <x:v>456 U</x:v>
      </x:c>
      <x:c r="B5" t="str">
        <x:v>Spot</x:v>
      </x:c>
      <x:c r="C5" t="str">
        <x:v>USE WITH CAUTION - drawdown close; press pending</x:v>
      </x:c>
      <x:c r="D5" t="str">
        <x:v>2026-06-11 shop adjusted</x:v>
      </x:c>
      <x:c r="E5" t="str">
        <x:v>Extender: 70.900%; 23 Yellow 14: 24.100%; Eclipse Black: 3.600%; 23 Red 22: 1.400%</x:v>
      </x:c>
      <x:c r="F5" t="str">
        <x:v>Made from safer first-shot formula; adjusted with +0.10 black and +0.06 Red 22. Press feedback pending. | Black darkens/dirty fast; do not add much more without drawdown.</x:v>
      </x:c>
    </x:row>
    <x:row r="6">
      <x:c r="A6" t="str">
        <x:v>0131 U</x:v>
      </x:c>
      <x:c r="B6" t="str">
        <x:v>Spot / pale yellow</x:v>
      </x:c>
      <x:c r="C6" t="str">
        <x:v>USE WITH CAUTION - correction in progress</x:v>
      </x:c>
      <x:c r="D6" t="str">
        <x:v>2026 pale yellow attempt</x:v>
      </x:c>
      <x:c r="E6" t="str">
        <x:v>Extender: 95.040%; Process Yellow: 4.660%; 23 Yellow 14: 0.290%</x:v>
      </x:c>
      <x:c r="F6" t="str">
        <x:v>After Process Yellow overshoot and extender additions; likely still needs drawdown/press confirmation. | Use Process Yellow as main yellow; 23 Yellow 14 only tiny.</x:v>
      </x:c>
    </x:row>
    <x:row r="7">
      <x:c r="A7" t="str">
        <x:v>510 U</x:v>
      </x:c>
      <x:c r="B7" t="str">
        <x:v>Flood</x:v>
      </x:c>
      <x:c r="C7" t="str">
        <x:v>NOT FINAL - clean test direction only</x:v>
      </x:c>
      <x:c r="D7" t="str">
        <x:v>Red-only rescue formula current</x:v>
      </x:c>
      <x:c r="E7" t="str">
        <x:v>Extender: 95.780%; 23 Red 22: 4.220%</x:v>
      </x:c>
      <x:c r="F7" t="str">
        <x:v>Red-only batch was clean but still too coral; more extender did little. Suggested next tiny Blue 15:3 = 0.03 lb on 17.77 lb batch, but not confirmed. | Do not use old blue/yellow heavy batch; it went brown/mauve.</x:v>
      </x:c>
    </x:row>
    <x:row r="8">
      <x:c r="A8" t="str">
        <x:v>540</x:v>
      </x:c>
      <x:c r="B8" t="str">
        <x:v>Spot / large batch</x:v>
      </x:c>
      <x:c r="C8" t="str">
        <x:v>SYSTEM FORMULA - not independently tested here</x:v>
      </x:c>
      <x:c r="D8" t="str">
        <x:v>User-provided formula</x:v>
      </x:c>
      <x:c r="E8" t="str">
        <x:v>Blue 15:3: 55.470%; 23 Methyl Violet: 26.710%; 23 Yellow 14: 10.960%; Eclipse Black: 6.860%</x:v>
      </x:c>
      <x:c r="F8" t="str">
        <x:v>User asked to scale this formula to 200 lb.</x:v>
      </x:c>
    </x:row>
    <x:row r="9">
      <x:c r="A9" t="str">
        <x:v>703 U</x:v>
      </x:c>
      <x:c r="B9" t="str">
        <x:v>Spot</x:v>
      </x:c>
      <x:c r="C9" t="str">
        <x:v>DRAFT - suggested safer formula</x:v>
      </x:c>
      <x:c r="D9" t="str">
        <x:v>10 lb first-shot recommendation</x:v>
      </x:c>
      <x:c r="E9" t="str">
        <x:v>Extender: 60.000%; 23 Red 22 / 22 Red 23: 28.000%; Rubine Red: 10.500%; Eclipse Black: 1.500%</x:v>
      </x:c>
      <x:c r="F9" t="str">
        <x:v>Suggested from comparison to old 1 lb formula; not yet drawdown-tested. | If using old named 22 Red 23, map to shop equivalent. | Old formula black was nearly 5%, likely too dirty.</x:v>
      </x:c>
    </x:row>
    <x:row r="10">
      <x:c r="A10" t="str">
        <x:v>186 U</x:v>
      </x:c>
      <x:c r="B10" t="str">
        <x:v>Spot</x:v>
      </x:c>
      <x:c r="C10" t="str">
        <x:v>DRAFT - suggested from 185 U base</x:v>
      </x:c>
      <x:c r="D10" t="str">
        <x:v>5 lb test recommendation</x:v>
      </x:c>
      <x:c r="E10" t="str">
        <x:v>185 U premade ink: 85.000%; Rubine Red: 10.000%; 23 Red 22: 5.000%</x:v>
      </x:c>
      <x:c r="F10" t="str">
        <x:v>Suggested only if 185 U premade is available.</x:v>
      </x:c>
    </x:row>
    <x:row r="11">
      <x:c r="A11" t="str">
        <x:v>2582 U</x:v>
      </x:c>
      <x:c r="B11" t="str">
        <x:v>Flood</x:v>
      </x:c>
      <x:c r="C11" t="str">
        <x:v>HOLD - use INX buckets first</x:v>
      </x:c>
      <x:c r="D11" t="str">
        <x:v>Vendor supplied INX buckets</x:v>
      </x:c>
      <x:c r="E11" t="str">
        <x:v>INX premade 2582 U: 100.000%</x:v>
      </x:c>
      <x:c r="F11" t="str">
        <x:v>Use 4 existing 5-gallon INX buckets first. Match shop formula to INX/press-approved ink later.</x:v>
      </x:c>
    </x:row>
    <x:row r="12">
      <x:c r="A12" t="str">
        <x:v>2582 U</x:v>
      </x:c>
      <x:c r="B12" t="str">
        <x:v>Flood reference only</x:v>
      </x:c>
      <x:c r="C12" t="str">
        <x:v>REFERENCE ONLY - Pantone card components not shop equivalents</x:v>
      </x:c>
      <x:c r="D12" t="str">
        <x:v>Pantone card reference</x:v>
      </x:c>
      <x:c r="E12" t="str">
        <x:v>Real Purple: 24.310%; Violet V2: 8.900%; Trans. Wt. / Extender: 66.790%</x:v>
      </x:c>
      <x:c r="F12" t="str">
        <x:v>Do not enter as shop formula unless the mixer has Real Purple.</x:v>
      </x:c>
    </x:row>
    <x:row r="13">
      <x:c r="A13" t="str">
        <x:v>4141 U</x:v>
      </x:c>
      <x:c r="B13" t="str">
        <x:v>Spot</x:v>
      </x:c>
      <x:c r="C13" t="str">
        <x:v>REFERENCE ONLY - no final shop weights captured</x:v>
      </x:c>
      <x:c r="D13" t="str">
        <x:v>Pantone card reference</x:v>
      </x:c>
      <x:c r="E13" t="str">
        <x:v>Pro Blue: 14.450%; Violet V2: 14.260%; Black: 3.350%; Trans. Wt. / Extender: 67.940%</x:v>
      </x:c>
      <x:c r="F13" t="str">
        <x:v>Visual match was corrected by eye. Final added amounts were not captured; do not quote as finalized shop formula.</x:v>
      </x:c>
    </x:row>
  </x:sheetData>
  <x:conditionalFormatting sqref="C2:C13">
    <x:cfRule type="expression" dxfId="3" priority="1">
      <x:formula>LEFT(C2,4)="SAFE"</x:formula>
    </x:cfRule>
    <x:cfRule type="expression" dxfId="4" priority="2">
      <x:formula>OR(LEFT(C2,4)="DRAF",LEFT(C2,4)="HOLD",LEFT(C2,9)="REFERENCE",LEFT(C2,3)="USE")</x:formula>
    </x:cfRule>
    <x:cfRule type="expression" dxfId="5" priority="3">
      <x:formula>LEFT(C2,3)="NOT"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ffef183cb704c8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8" hidden="0" customWidth="1"/>
    <x:col min="5" max="5" width="22" hidden="0" customWidth="1"/>
    <x:col min="6" max="6" width="12" hidden="0" customWidth="1"/>
    <x:col min="7" max="7" width="18" hidden="0" customWidth="1"/>
    <x:col min="8" max="8" width="55" hidden="0" customWidth="1"/>
  </x:cols>
  <x:sheetData>
    <x:row r="1">
      <x:c r="A1" s="16" t="str">
        <x:v>Pantone / Color</x:v>
      </x:c>
      <x:c r="B1" s="16" t="str">
        <x:v>Use Type</x:v>
      </x:c>
      <x:c r="C1" s="16" t="str">
        <x:v>Status</x:v>
      </x:c>
      <x:c r="D1" s="16" t="str">
        <x:v>Formula Version</x:v>
      </x:c>
      <x:c r="E1" s="16" t="str">
        <x:v>Component</x:v>
      </x:c>
      <x:c r="F1" s="18" t="str">
        <x:v>Percent</x:v>
      </x:c>
      <x:c r="G1" s="16" t="str">
        <x:v>Component Role</x:v>
      </x:c>
      <x:c r="H1" s="16" t="str">
        <x:v>Notes</x:v>
      </x:c>
    </x:row>
    <x:row r="2">
      <x:c r="A2" t="str">
        <x:v>2935 U</x:v>
      </x:c>
      <x:c r="B2" t="str">
        <x:v>Spot / large batch</x:v>
      </x:c>
      <x:c r="C2" t="str">
        <x:v>SAFE - system formula used</x:v>
      </x:c>
      <x:c r="D2" t="str">
        <x:v>2026-06-11 scale verified</x:v>
      </x:c>
      <x:c r="E2" t="str">
        <x:v>Blue 15:3</x:v>
      </x:c>
      <x:c r="F2" t="n">
        <x:v>53.095</x:v>
      </x:c>
      <x:c r="G2" t="str">
        <x:v>Primary blue</x:v>
      </x:c>
      <x:c r="H2" t="str">
        <x:v>User reported formula looked good; scaled to 300 lb and 330 lb.</x:v>
      </x:c>
    </x:row>
    <x:row r="3">
      <x:c r="A3" t="str">
        <x:v>2935 U</x:v>
      </x:c>
      <x:c r="B3" t="str">
        <x:v>Spot / large batch</x:v>
      </x:c>
      <x:c r="C3" t="str">
        <x:v>SAFE - system formula used</x:v>
      </x:c>
      <x:c r="D3" t="str">
        <x:v>2026-06-11 scale verified</x:v>
      </x:c>
      <x:c r="E3" t="str">
        <x:v>23 Methyl Violet</x:v>
      </x:c>
      <x:c r="F3" t="n">
        <x:v>5.809</x:v>
      </x:c>
      <x:c r="G3" t="str">
        <x:v>Violet depth</x:v>
      </x:c>
      <x:c r="H3" t="str">
        <x:v>Use same percent for any batch size.</x:v>
      </x:c>
    </x:row>
    <x:row r="4">
      <x:c r="A4" t="str">
        <x:v>2935 U</x:v>
      </x:c>
      <x:c r="B4" t="str">
        <x:v>Spot / large batch</x:v>
      </x:c>
      <x:c r="C4" t="str">
        <x:v>SAFE - system formula used</x:v>
      </x:c>
      <x:c r="D4" t="str">
        <x:v>2026-06-11 scale verified</x:v>
      </x:c>
      <x:c r="E4" t="str">
        <x:v>Eclipse Black</x:v>
      </x:c>
      <x:c r="F4" t="n">
        <x:v>1.49</x:v>
      </x:c>
      <x:c r="G4" t="str">
        <x:v>Depth/mute</x:v>
      </x:c>
      <x:c r="H4" t="str">
        <x:v>Do not increase black unless press requires.</x:v>
      </x:c>
    </x:row>
    <x:row r="5">
      <x:c r="A5" t="str">
        <x:v>2935 U</x:v>
      </x:c>
      <x:c r="B5" t="str">
        <x:v>Spot / large batch</x:v>
      </x:c>
      <x:c r="C5" t="str">
        <x:v>SAFE - system formula used</x:v>
      </x:c>
      <x:c r="D5" t="str">
        <x:v>2026-06-11 scale verified</x:v>
      </x:c>
      <x:c r="E5" t="str">
        <x:v>Extender</x:v>
      </x:c>
      <x:c r="F5" t="n">
        <x:v>39.606</x:v>
      </x:c>
      <x:c r="G5" t="str">
        <x:v>Strength control</x:v>
      </x:c>
      <x:c r="H5" t="str"/>
    </x:row>
    <x:row r="6">
      <x:c r="A6" t="str">
        <x:v>299 U</x:v>
      </x:c>
      <x:c r="B6" t="str">
        <x:v>Spot</x:v>
      </x:c>
      <x:c r="C6" t="str">
        <x:v>SAFE - finalized shop formula</x:v>
      </x:c>
      <x:c r="D6" t="str">
        <x:v>Fresh formula after black-contaminated batch abandoned</x:v>
      </x:c>
      <x:c r="E6" t="str">
        <x:v>Extender</x:v>
      </x:c>
      <x:c r="F6" t="n">
        <x:v>80.52</x:v>
      </x:c>
      <x:c r="G6" t="str">
        <x:v>Strength control</x:v>
      </x:c>
      <x:c r="H6" t="str">
        <x:v>Finalized from clean test batch. No black. Avoid old mixer formula.</x:v>
      </x:c>
    </x:row>
    <x:row r="7">
      <x:c r="A7" t="str">
        <x:v>299 U</x:v>
      </x:c>
      <x:c r="B7" t="str">
        <x:v>Spot</x:v>
      </x:c>
      <x:c r="C7" t="str">
        <x:v>SAFE - finalized shop formula</x:v>
      </x:c>
      <x:c r="D7" t="str">
        <x:v>Fresh formula after black-contaminated batch abandoned</x:v>
      </x:c>
      <x:c r="E7" t="str">
        <x:v>Blue 15:3</x:v>
      </x:c>
      <x:c r="F7" t="n">
        <x:v>17.97</x:v>
      </x:c>
      <x:c r="G7" t="str">
        <x:v>Primary blue</x:v>
      </x:c>
      <x:c r="H7" t="str">
        <x:v>Old formula was too weak; black dirtied the color. This is the cleaner formula to save.</x:v>
      </x:c>
    </x:row>
    <x:row r="8">
      <x:c r="A8" t="str">
        <x:v>299 U</x:v>
      </x:c>
      <x:c r="B8" t="str">
        <x:v>Spot</x:v>
      </x:c>
      <x:c r="C8" t="str">
        <x:v>SAFE - finalized shop formula</x:v>
      </x:c>
      <x:c r="D8" t="str">
        <x:v>Fresh formula after black-contaminated batch abandoned</x:v>
      </x:c>
      <x:c r="E8" t="str">
        <x:v>23 Methyl Violet</x:v>
      </x:c>
      <x:c r="F8" t="n">
        <x:v>1.51</x:v>
      </x:c>
      <x:c r="G8" t="str">
        <x:v>Reflex/violet tone</x:v>
      </x:c>
      <x:c r="H8" t="str">
        <x:v>No black.</x:v>
      </x:c>
    </x:row>
    <x:row r="9">
      <x:c r="A9" t="str">
        <x:v>2001 U</x:v>
      </x:c>
      <x:c r="B9" t="str">
        <x:v>Flood</x:v>
      </x:c>
      <x:c r="C9" t="str">
        <x:v>SAFE - press-developed flood formula</x:v>
      </x:c>
      <x:c r="D9" t="str">
        <x:v>2026 flood simplified formula</x:v>
      </x:c>
      <x:c r="E9" t="str">
        <x:v>Extender</x:v>
      </x:c>
      <x:c r="F9" t="n">
        <x:v>90.91</x:v>
      </x:c>
      <x:c r="G9" t="str">
        <x:v>Strength control</x:v>
      </x:c>
      <x:c r="H9" t="str">
        <x:v>User-reported final: 40 lb extender + 4 lb Yellow 23.</x:v>
      </x:c>
    </x:row>
    <x:row r="10">
      <x:c r="A10" t="str">
        <x:v>2001 U</x:v>
      </x:c>
      <x:c r="B10" t="str">
        <x:v>Flood</x:v>
      </x:c>
      <x:c r="C10" t="str">
        <x:v>SAFE - press-developed flood formula</x:v>
      </x:c>
      <x:c r="D10" t="str">
        <x:v>2026 flood simplified formula</x:v>
      </x:c>
      <x:c r="E10" t="str">
        <x:v>23 Yellow 14</x:v>
      </x:c>
      <x:c r="F10" t="n">
        <x:v>9.09</x:v>
      </x:c>
      <x:c r="G10" t="str">
        <x:v>Primary yellow</x:v>
      </x:c>
      <x:c r="H10" t="str">
        <x:v>Use Process Yellow only if shop explicitly changes formula; final note was Yellow 23/14 + extender.</x:v>
      </x:c>
    </x:row>
    <x:row r="11">
      <x:c r="A11" t="str">
        <x:v>456 U</x:v>
      </x:c>
      <x:c r="B11" t="str">
        <x:v>Spot</x:v>
      </x:c>
      <x:c r="C11" t="str">
        <x:v>USE WITH CAUTION - drawdown close; press pending</x:v>
      </x:c>
      <x:c r="D11" t="str">
        <x:v>2026-06-11 shop adjusted</x:v>
      </x:c>
      <x:c r="E11" t="str">
        <x:v>Extender</x:v>
      </x:c>
      <x:c r="F11" t="n">
        <x:v>70.9</x:v>
      </x:c>
      <x:c r="G11" t="str">
        <x:v>Strength control</x:v>
      </x:c>
      <x:c r="H11" t="str">
        <x:v>Made from safer first-shot formula; adjusted with +0.10 black and +0.06 Red 22. Press feedback pending.</x:v>
      </x:c>
    </x:row>
    <x:row r="12">
      <x:c r="A12" t="str">
        <x:v>456 U</x:v>
      </x:c>
      <x:c r="B12" t="str">
        <x:v>Spot</x:v>
      </x:c>
      <x:c r="C12" t="str">
        <x:v>USE WITH CAUTION - drawdown close; press pending</x:v>
      </x:c>
      <x:c r="D12" t="str">
        <x:v>2026-06-11 shop adjusted</x:v>
      </x:c>
      <x:c r="E12" t="str">
        <x:v>23 Yellow 14</x:v>
      </x:c>
      <x:c r="F12" t="n">
        <x:v>24.1</x:v>
      </x:c>
      <x:c r="G12" t="str">
        <x:v>Yellow/olive body</x:v>
      </x:c>
      <x:c r="H12" t="str"/>
    </x:row>
    <x:row r="13">
      <x:c r="A13" t="str">
        <x:v>456 U</x:v>
      </x:c>
      <x:c r="B13" t="str">
        <x:v>Spot</x:v>
      </x:c>
      <x:c r="C13" t="str">
        <x:v>USE WITH CAUTION - drawdown close; press pending</x:v>
      </x:c>
      <x:c r="D13" t="str">
        <x:v>2026-06-11 shop adjusted</x:v>
      </x:c>
      <x:c r="E13" t="str">
        <x:v>Eclipse Black</x:v>
      </x:c>
      <x:c r="F13" t="n">
        <x:v>3.6</x:v>
      </x:c>
      <x:c r="G13" t="str">
        <x:v>Olive mute/depth</x:v>
      </x:c>
      <x:c r="H13" t="str">
        <x:v>Black darkens/dirty fast; do not add much more without drawdown.</x:v>
      </x:c>
    </x:row>
    <x:row r="14">
      <x:c r="A14" t="str">
        <x:v>456 U</x:v>
      </x:c>
      <x:c r="B14" t="str">
        <x:v>Spot</x:v>
      </x:c>
      <x:c r="C14" t="str">
        <x:v>USE WITH CAUTION - drawdown close; press pending</x:v>
      </x:c>
      <x:c r="D14" t="str">
        <x:v>2026-06-11 shop adjusted</x:v>
      </x:c>
      <x:c r="E14" t="str">
        <x:v>23 Red 22</x:v>
      </x:c>
      <x:c r="F14" t="n">
        <x:v>1.4</x:v>
      </x:c>
      <x:c r="G14" t="str">
        <x:v>Warm/brown correction</x:v>
      </x:c>
      <x:c r="H14" t="str"/>
    </x:row>
    <x:row r="15">
      <x:c r="A15" t="str">
        <x:v>0131 U</x:v>
      </x:c>
      <x:c r="B15" t="str">
        <x:v>Spot / pale yellow</x:v>
      </x:c>
      <x:c r="C15" t="str">
        <x:v>USE WITH CAUTION - correction in progress</x:v>
      </x:c>
      <x:c r="D15" t="str">
        <x:v>2026 pale yellow attempt</x:v>
      </x:c>
      <x:c r="E15" t="str">
        <x:v>Extender</x:v>
      </x:c>
      <x:c r="F15" t="n">
        <x:v>95.04</x:v>
      </x:c>
      <x:c r="G15" t="str">
        <x:v>Strength control</x:v>
      </x:c>
      <x:c r="H15" t="str">
        <x:v>After Process Yellow overshoot and extender additions; likely still needs drawdown/press confirmation.</x:v>
      </x:c>
    </x:row>
    <x:row r="16">
      <x:c r="A16" t="str">
        <x:v>0131 U</x:v>
      </x:c>
      <x:c r="B16" t="str">
        <x:v>Spot / pale yellow</x:v>
      </x:c>
      <x:c r="C16" t="str">
        <x:v>USE WITH CAUTION - correction in progress</x:v>
      </x:c>
      <x:c r="D16" t="str">
        <x:v>2026 pale yellow attempt</x:v>
      </x:c>
      <x:c r="E16" t="str">
        <x:v>Process Yellow</x:v>
      </x:c>
      <x:c r="F16" t="n">
        <x:v>4.66</x:v>
      </x:c>
      <x:c r="G16" t="str">
        <x:v>Clean yellow</x:v>
      </x:c>
      <x:c r="H16" t="str">
        <x:v>Use Process Yellow as main yellow; 23 Yellow 14 only tiny.</x:v>
      </x:c>
    </x:row>
    <x:row r="17">
      <x:c r="A17" t="str">
        <x:v>0131 U</x:v>
      </x:c>
      <x:c r="B17" t="str">
        <x:v>Spot / pale yellow</x:v>
      </x:c>
      <x:c r="C17" t="str">
        <x:v>USE WITH CAUTION - correction in progress</x:v>
      </x:c>
      <x:c r="D17" t="str">
        <x:v>2026 pale yellow attempt</x:v>
      </x:c>
      <x:c r="E17" t="str">
        <x:v>23 Yellow 14</x:v>
      </x:c>
      <x:c r="F17" t="n">
        <x:v>0.29</x:v>
      </x:c>
      <x:c r="G17" t="str">
        <x:v>Body/warmth</x:v>
      </x:c>
      <x:c r="H17" t="str"/>
    </x:row>
    <x:row r="18">
      <x:c r="A18" t="str">
        <x:v>510 U</x:v>
      </x:c>
      <x:c r="B18" t="str">
        <x:v>Flood</x:v>
      </x:c>
      <x:c r="C18" t="str">
        <x:v>NOT FINAL - clean test direction only</x:v>
      </x:c>
      <x:c r="D18" t="str">
        <x:v>Red-only rescue formula current</x:v>
      </x:c>
      <x:c r="E18" t="str">
        <x:v>Extender</x:v>
      </x:c>
      <x:c r="F18" t="n">
        <x:v>95.78</x:v>
      </x:c>
      <x:c r="G18" t="str">
        <x:v>Strength control</x:v>
      </x:c>
      <x:c r="H18" t="str">
        <x:v>Red-only batch was clean but still too coral; more extender did little. Suggested next tiny Blue 15:3 = 0.03 lb on 17.77 lb batch, but not confirmed.</x:v>
      </x:c>
    </x:row>
    <x:row r="19">
      <x:c r="A19" t="str">
        <x:v>510 U</x:v>
      </x:c>
      <x:c r="B19" t="str">
        <x:v>Flood</x:v>
      </x:c>
      <x:c r="C19" t="str">
        <x:v>NOT FINAL - clean test direction only</x:v>
      </x:c>
      <x:c r="D19" t="str">
        <x:v>Red-only rescue formula current</x:v>
      </x:c>
      <x:c r="E19" t="str">
        <x:v>23 Red 22</x:v>
      </x:c>
      <x:c r="F19" t="n">
        <x:v>4.22</x:v>
      </x:c>
      <x:c r="G19" t="str">
        <x:v>Primary red/pink</x:v>
      </x:c>
      <x:c r="H19" t="str">
        <x:v>Do not use old blue/yellow heavy batch; it went brown/mauve.</x:v>
      </x:c>
    </x:row>
    <x:row r="20">
      <x:c r="A20" t="str">
        <x:v>540</x:v>
      </x:c>
      <x:c r="B20" t="str">
        <x:v>Spot / large batch</x:v>
      </x:c>
      <x:c r="C20" t="str">
        <x:v>SYSTEM FORMULA - not independently tested here</x:v>
      </x:c>
      <x:c r="D20" t="str">
        <x:v>User-provided formula</x:v>
      </x:c>
      <x:c r="E20" t="str">
        <x:v>Blue 15:3</x:v>
      </x:c>
      <x:c r="F20" t="n">
        <x:v>55.47</x:v>
      </x:c>
      <x:c r="G20" t="str">
        <x:v>Primary blue</x:v>
      </x:c>
      <x:c r="H20" t="str">
        <x:v>User asked to scale this formula to 200 lb.</x:v>
      </x:c>
    </x:row>
    <x:row r="21">
      <x:c r="A21" t="str">
        <x:v>540</x:v>
      </x:c>
      <x:c r="B21" t="str">
        <x:v>Spot / large batch</x:v>
      </x:c>
      <x:c r="C21" t="str">
        <x:v>SYSTEM FORMULA - not independently tested here</x:v>
      </x:c>
      <x:c r="D21" t="str">
        <x:v>User-provided formula</x:v>
      </x:c>
      <x:c r="E21" t="str">
        <x:v>23 Methyl Violet</x:v>
      </x:c>
      <x:c r="F21" t="n">
        <x:v>26.71</x:v>
      </x:c>
      <x:c r="G21" t="str">
        <x:v>Purple/depth</x:v>
      </x:c>
      <x:c r="H21" t="str"/>
    </x:row>
    <x:row r="22">
      <x:c r="A22" t="str">
        <x:v>540</x:v>
      </x:c>
      <x:c r="B22" t="str">
        <x:v>Spot / large batch</x:v>
      </x:c>
      <x:c r="C22" t="str">
        <x:v>SYSTEM FORMULA - not independently tested here</x:v>
      </x:c>
      <x:c r="D22" t="str">
        <x:v>User-provided formula</x:v>
      </x:c>
      <x:c r="E22" t="str">
        <x:v>23 Yellow 14</x:v>
      </x:c>
      <x:c r="F22" t="n">
        <x:v>10.96</x:v>
      </x:c>
      <x:c r="G22" t="str">
        <x:v>Green/blue balance</x:v>
      </x:c>
      <x:c r="H22" t="str"/>
    </x:row>
    <x:row r="23">
      <x:c r="A23" t="str">
        <x:v>540</x:v>
      </x:c>
      <x:c r="B23" t="str">
        <x:v>Spot / large batch</x:v>
      </x:c>
      <x:c r="C23" t="str">
        <x:v>SYSTEM FORMULA - not independently tested here</x:v>
      </x:c>
      <x:c r="D23" t="str">
        <x:v>User-provided formula</x:v>
      </x:c>
      <x:c r="E23" t="str">
        <x:v>Eclipse Black</x:v>
      </x:c>
      <x:c r="F23" t="n">
        <x:v>6.86</x:v>
      </x:c>
      <x:c r="G23" t="str">
        <x:v>Depth/mute</x:v>
      </x:c>
      <x:c r="H23" t="str"/>
    </x:row>
    <x:row r="24">
      <x:c r="A24" t="str">
        <x:v>703 U</x:v>
      </x:c>
      <x:c r="B24" t="str">
        <x:v>Spot</x:v>
      </x:c>
      <x:c r="C24" t="str">
        <x:v>DRAFT - suggested safer formula</x:v>
      </x:c>
      <x:c r="D24" t="str">
        <x:v>10 lb first-shot recommendation</x:v>
      </x:c>
      <x:c r="E24" t="str">
        <x:v>Extender</x:v>
      </x:c>
      <x:c r="F24" t="n">
        <x:v>60</x:v>
      </x:c>
      <x:c r="G24" t="str">
        <x:v>Strength control</x:v>
      </x:c>
      <x:c r="H24" t="str">
        <x:v>Suggested from comparison to old 1 lb formula; not yet drawdown-tested.</x:v>
      </x:c>
    </x:row>
    <x:row r="25">
      <x:c r="A25" t="str">
        <x:v>703 U</x:v>
      </x:c>
      <x:c r="B25" t="str">
        <x:v>Spot</x:v>
      </x:c>
      <x:c r="C25" t="str">
        <x:v>DRAFT - suggested safer formula</x:v>
      </x:c>
      <x:c r="D25" t="str">
        <x:v>10 lb first-shot recommendation</x:v>
      </x:c>
      <x:c r="E25" t="str">
        <x:v>23 Red 22 / 22 Red 23</x:v>
      </x:c>
      <x:c r="F25" t="n">
        <x:v>28</x:v>
      </x:c>
      <x:c r="G25" t="str">
        <x:v>Red body</x:v>
      </x:c>
      <x:c r="H25" t="str">
        <x:v>If using old named 22 Red 23, map to shop equivalent.</x:v>
      </x:c>
    </x:row>
    <x:row r="26">
      <x:c r="A26" t="str">
        <x:v>703 U</x:v>
      </x:c>
      <x:c r="B26" t="str">
        <x:v>Spot</x:v>
      </x:c>
      <x:c r="C26" t="str">
        <x:v>DRAFT - suggested safer formula</x:v>
      </x:c>
      <x:c r="D26" t="str">
        <x:v>10 lb first-shot recommendation</x:v>
      </x:c>
      <x:c r="E26" t="str">
        <x:v>Rubine Red</x:v>
      </x:c>
      <x:c r="F26" t="n">
        <x:v>10.5</x:v>
      </x:c>
      <x:c r="G26" t="str">
        <x:v>Rose/pink direction</x:v>
      </x:c>
      <x:c r="H26" t="str"/>
    </x:row>
    <x:row r="27">
      <x:c r="A27" t="str">
        <x:v>703 U</x:v>
      </x:c>
      <x:c r="B27" t="str">
        <x:v>Spot</x:v>
      </x:c>
      <x:c r="C27" t="str">
        <x:v>DRAFT - suggested safer formula</x:v>
      </x:c>
      <x:c r="D27" t="str">
        <x:v>10 lb first-shot recommendation</x:v>
      </x:c>
      <x:c r="E27" t="str">
        <x:v>Eclipse Black</x:v>
      </x:c>
      <x:c r="F27" t="n">
        <x:v>1.5</x:v>
      </x:c>
      <x:c r="G27" t="str">
        <x:v>Muted/dusty tone</x:v>
      </x:c>
      <x:c r="H27" t="str">
        <x:v>Old formula black was nearly 5%, likely too dirty.</x:v>
      </x:c>
    </x:row>
    <x:row r="28">
      <x:c r="A28" t="str">
        <x:v>186 U</x:v>
      </x:c>
      <x:c r="B28" t="str">
        <x:v>Spot</x:v>
      </x:c>
      <x:c r="C28" t="str">
        <x:v>DRAFT - suggested from 185 U base</x:v>
      </x:c>
      <x:c r="D28" t="str">
        <x:v>5 lb test recommendation</x:v>
      </x:c>
      <x:c r="E28" t="str">
        <x:v>185 U premade ink</x:v>
      </x:c>
      <x:c r="F28" t="n">
        <x:v>85</x:v>
      </x:c>
      <x:c r="G28" t="str">
        <x:v>Base ink</x:v>
      </x:c>
      <x:c r="H28" t="str">
        <x:v>Suggested only if 185 U premade is available.</x:v>
      </x:c>
    </x:row>
    <x:row r="29">
      <x:c r="A29" t="str">
        <x:v>186 U</x:v>
      </x:c>
      <x:c r="B29" t="str">
        <x:v>Spot</x:v>
      </x:c>
      <x:c r="C29" t="str">
        <x:v>DRAFT - suggested from 185 U base</x:v>
      </x:c>
      <x:c r="D29" t="str">
        <x:v>5 lb test recommendation</x:v>
      </x:c>
      <x:c r="E29" t="str">
        <x:v>Rubine Red</x:v>
      </x:c>
      <x:c r="F29" t="n">
        <x:v>10</x:v>
      </x:c>
      <x:c r="G29" t="str">
        <x:v>Deeper red body</x:v>
      </x:c>
      <x:c r="H29" t="str"/>
    </x:row>
    <x:row r="30">
      <x:c r="A30" t="str">
        <x:v>186 U</x:v>
      </x:c>
      <x:c r="B30" t="str">
        <x:v>Spot</x:v>
      </x:c>
      <x:c r="C30" t="str">
        <x:v>DRAFT - suggested from 185 U base</x:v>
      </x:c>
      <x:c r="D30" t="str">
        <x:v>5 lb test recommendation</x:v>
      </x:c>
      <x:c r="E30" t="str">
        <x:v>23 Red 22</x:v>
      </x:c>
      <x:c r="F30" t="n">
        <x:v>5</x:v>
      </x:c>
      <x:c r="G30" t="str">
        <x:v>Keeps from drifting too magenta</x:v>
      </x:c>
      <x:c r="H30" t="str"/>
    </x:row>
    <x:row r="31">
      <x:c r="A31" t="str">
        <x:v>2582 U</x:v>
      </x:c>
      <x:c r="B31" t="str">
        <x:v>Flood</x:v>
      </x:c>
      <x:c r="C31" t="str">
        <x:v>HOLD - use INX buckets first</x:v>
      </x:c>
      <x:c r="D31" t="str">
        <x:v>Vendor supplied INX buckets</x:v>
      </x:c>
      <x:c r="E31" t="str">
        <x:v>INX premade 2582 U</x:v>
      </x:c>
      <x:c r="F31" t="n">
        <x:v>100</x:v>
      </x:c>
      <x:c r="G31" t="str">
        <x:v>Vendor base</x:v>
      </x:c>
      <x:c r="H31" t="str">
        <x:v>Use 4 existing 5-gallon INX buckets first. Match shop formula to INX/press-approved ink later.</x:v>
      </x:c>
    </x:row>
    <x:row r="32">
      <x:c r="A32" t="str">
        <x:v>2582 U</x:v>
      </x:c>
      <x:c r="B32" t="str">
        <x:v>Flood reference only</x:v>
      </x:c>
      <x:c r="C32" t="str">
        <x:v>REFERENCE ONLY - Pantone card components not shop equivalents</x:v>
      </x:c>
      <x:c r="D32" t="str">
        <x:v>Pantone card reference</x:v>
      </x:c>
      <x:c r="E32" t="str">
        <x:v>Real Purple</x:v>
      </x:c>
      <x:c r="F32" t="n">
        <x:v>24.31</x:v>
      </x:c>
      <x:c r="G32" t="str">
        <x:v>Reference component</x:v>
      </x:c>
      <x:c r="H32" t="str">
        <x:v>Do not enter as shop formula unless the mixer has Real Purple.</x:v>
      </x:c>
    </x:row>
    <x:row r="33">
      <x:c r="A33" t="str">
        <x:v>2582 U</x:v>
      </x:c>
      <x:c r="B33" t="str">
        <x:v>Flood reference only</x:v>
      </x:c>
      <x:c r="C33" t="str">
        <x:v>REFERENCE ONLY - Pantone card components not shop equivalents</x:v>
      </x:c>
      <x:c r="D33" t="str">
        <x:v>Pantone card reference</x:v>
      </x:c>
      <x:c r="E33" t="str">
        <x:v>Violet V2</x:v>
      </x:c>
      <x:c r="F33" t="n">
        <x:v>8.9</x:v>
      </x:c>
      <x:c r="G33" t="str">
        <x:v>Reference component</x:v>
      </x:c>
      <x:c r="H33" t="str"/>
    </x:row>
    <x:row r="34">
      <x:c r="A34" t="str">
        <x:v>2582 U</x:v>
      </x:c>
      <x:c r="B34" t="str">
        <x:v>Flood reference only</x:v>
      </x:c>
      <x:c r="C34" t="str">
        <x:v>REFERENCE ONLY - Pantone card components not shop equivalents</x:v>
      </x:c>
      <x:c r="D34" t="str">
        <x:v>Pantone card reference</x:v>
      </x:c>
      <x:c r="E34" t="str">
        <x:v>Trans. Wt. / Extender</x:v>
      </x:c>
      <x:c r="F34" t="n">
        <x:v>66.79</x:v>
      </x:c>
      <x:c r="G34" t="str">
        <x:v>Reference component</x:v>
      </x:c>
      <x:c r="H34" t="str"/>
    </x:row>
    <x:row r="35">
      <x:c r="A35" t="str">
        <x:v>4141 U</x:v>
      </x:c>
      <x:c r="B35" t="str">
        <x:v>Spot</x:v>
      </x:c>
      <x:c r="C35" t="str">
        <x:v>REFERENCE ONLY - no final shop weights captured</x:v>
      </x:c>
      <x:c r="D35" t="str">
        <x:v>Pantone card reference</x:v>
      </x:c>
      <x:c r="E35" t="str">
        <x:v>Pro Blue</x:v>
      </x:c>
      <x:c r="F35" t="n">
        <x:v>14.45</x:v>
      </x:c>
      <x:c r="G35" t="str">
        <x:v>Reference component</x:v>
      </x:c>
      <x:c r="H35" t="str">
        <x:v>Visual match was corrected by eye. Final added amounts were not captured; do not quote as finalized shop formula.</x:v>
      </x:c>
    </x:row>
    <x:row r="36">
      <x:c r="A36" t="str">
        <x:v>4141 U</x:v>
      </x:c>
      <x:c r="B36" t="str">
        <x:v>Spot</x:v>
      </x:c>
      <x:c r="C36" t="str">
        <x:v>REFERENCE ONLY - no final shop weights captured</x:v>
      </x:c>
      <x:c r="D36" t="str">
        <x:v>Pantone card reference</x:v>
      </x:c>
      <x:c r="E36" t="str">
        <x:v>Violet V2</x:v>
      </x:c>
      <x:c r="F36" t="n">
        <x:v>14.26</x:v>
      </x:c>
      <x:c r="G36" t="str">
        <x:v>Reference component</x:v>
      </x:c>
      <x:c r="H36" t="str"/>
    </x:row>
    <x:row r="37">
      <x:c r="A37" t="str">
        <x:v>4141 U</x:v>
      </x:c>
      <x:c r="B37" t="str">
        <x:v>Spot</x:v>
      </x:c>
      <x:c r="C37" t="str">
        <x:v>REFERENCE ONLY - no final shop weights captured</x:v>
      </x:c>
      <x:c r="D37" t="str">
        <x:v>Pantone card reference</x:v>
      </x:c>
      <x:c r="E37" t="str">
        <x:v>Black</x:v>
      </x:c>
      <x:c r="F37" t="n">
        <x:v>3.35</x:v>
      </x:c>
      <x:c r="G37" t="str">
        <x:v>Reference component</x:v>
      </x:c>
      <x:c r="H37" t="str"/>
    </x:row>
    <x:row r="38">
      <x:c r="A38" t="str">
        <x:v>4141 U</x:v>
      </x:c>
      <x:c r="B38" t="str">
        <x:v>Spot</x:v>
      </x:c>
      <x:c r="C38" t="str">
        <x:v>REFERENCE ONLY - no final shop weights captured</x:v>
      </x:c>
      <x:c r="D38" t="str">
        <x:v>Pantone card reference</x:v>
      </x:c>
      <x:c r="E38" t="str">
        <x:v>Trans. Wt. / Extender</x:v>
      </x:c>
      <x:c r="F38" t="n">
        <x:v>67.94</x:v>
      </x:c>
      <x:c r="G38" t="str">
        <x:v>Reference component</x:v>
      </x:c>
      <x:c r="H38" t="str"/>
    </x:row>
  </x:sheetData>
  <x:conditionalFormatting sqref="C2:C38">
    <x:cfRule type="expression" dxfId="0" priority="1">
      <x:formula>LEFT(C2,4)="SAFE"</x:formula>
    </x:cfRule>
    <x:cfRule type="expression" dxfId="1" priority="2">
      <x:formula>OR(LEFT(C2,4)="DRAF",LEFT(C2,4)="HOLD",LEFT(C2,9)="REFERENCE",LEFT(C2,3)="USE")</x:formula>
    </x:cfRule>
    <x:cfRule type="expression" dxfId="2" priority="3">
      <x:formula>LEFT(C2,3)="NOT"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38d07beca95473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12" hidden="0" customWidth="1"/>
    <x:col min="5" max="5" width="12" hidden="0" customWidth="1"/>
    <x:col min="6" max="6" width="12" hidden="0" customWidth="1"/>
    <x:col min="7" max="7" width="60" hidden="0" customWidth="1"/>
  </x:cols>
  <x:sheetData>
    <x:row r="1">
      <x:c r="A1" s="26" t="str">
        <x:v>Batch Calculator</x:v>
      </x:c>
      <x:c r="B1" s="9"/>
      <x:c r="C1" s="9"/>
      <x:c r="D1" s="27"/>
      <x:c r="E1" s="27"/>
      <x:c r="F1" s="27"/>
      <x:c r="G1" s="9"/>
    </x:row>
    <x:row r="3">
      <x:c r="A3" s="6" t="str">
        <x:v>Enter Pantone / Color</x:v>
      </x:c>
      <x:c r="B3" s="22" t="str">
        <x:v>299 U</x:v>
      </x:c>
    </x:row>
    <x:row r="4">
      <x:c r="A4" s="6" t="str">
        <x:v>Enter Target Batch lb</x:v>
      </x:c>
      <x:c r="B4" s="22" t="n">
        <x:v>15</x:v>
      </x:c>
    </x:row>
    <x:row r="5">
      <x:c r="A5" s="6" t="str">
        <x:v>Instructions</x:v>
      </x:c>
      <x:c r="B5" t="str">
        <x:v>Type a Pantone/color exactly as shown in Formula_Database column A. Amounts calculate for matching formula rows.</x:v>
      </x:c>
    </x:row>
    <x:row r="7">
      <x:c r="A7" s="12" t="str">
        <x:v>Pantone / Color</x:v>
      </x:c>
      <x:c r="B7" s="12" t="str">
        <x:v>Status</x:v>
      </x:c>
      <x:c r="C7" s="12" t="str">
        <x:v>Component</x:v>
      </x:c>
      <x:c r="D7" s="12" t="str">
        <x:v>Percent</x:v>
      </x:c>
      <x:c r="E7" s="12" t="str">
        <x:v>Batch lb</x:v>
      </x:c>
      <x:c r="F7" s="12" t="str">
        <x:v>Amount lb</x:v>
      </x:c>
      <x:c r="G7" s="12" t="str">
        <x:v>Notes</x:v>
      </x:c>
    </x:row>
    <x:row r="8">
      <x:c r="A8" t="str">
        <x:v>2935 U</x:v>
      </x:c>
      <x:c r="B8" t="str">
        <x:v>SAFE - system formula used</x:v>
      </x:c>
      <x:c r="C8" t="str">
        <x:v>Blue 15:3</x:v>
      </x:c>
      <x:c r="D8" t="n">
        <x:v>53.095</x:v>
      </x:c>
      <x:c r="E8" t="str">
        <x:f>IF(A8=$B$3,$B$4,"")</x:f>
      </x:c>
      <x:c r="F8" t="str">
        <x:f>IF(E8="","",E8*D8/100)</x:f>
      </x:c>
      <x:c r="G8" t="str">
        <x:v>User reported formula looked good; scaled to 300 lb and 330 lb.</x:v>
      </x:c>
    </x:row>
    <x:row r="9">
      <x:c r="A9" t="str">
        <x:v>2935 U</x:v>
      </x:c>
      <x:c r="B9" t="str">
        <x:v>SAFE - system formula used</x:v>
      </x:c>
      <x:c r="C9" t="str">
        <x:v>23 Methyl Violet</x:v>
      </x:c>
      <x:c r="D9" t="n">
        <x:v>5.809</x:v>
      </x:c>
      <x:c r="E9" t="str">
        <x:f>IF(A9=$B$3,$B$4,"")</x:f>
      </x:c>
      <x:c r="F9" t="str">
        <x:f>IF(E9="","",E9*D9/100)</x:f>
      </x:c>
      <x:c r="G9" t="str">
        <x:v>Use same percent for any batch size.</x:v>
      </x:c>
    </x:row>
    <x:row r="10">
      <x:c r="A10" t="str">
        <x:v>2935 U</x:v>
      </x:c>
      <x:c r="B10" t="str">
        <x:v>SAFE - system formula used</x:v>
      </x:c>
      <x:c r="C10" t="str">
        <x:v>Eclipse Black</x:v>
      </x:c>
      <x:c r="D10" t="n">
        <x:v>1.49</x:v>
      </x:c>
      <x:c r="E10" t="str">
        <x:f>IF(A10=$B$3,$B$4,"")</x:f>
      </x:c>
      <x:c r="F10" t="str">
        <x:f>IF(E10="","",E10*D10/100)</x:f>
      </x:c>
      <x:c r="G10" t="str">
        <x:v>Do not increase black unless press requires.</x:v>
      </x:c>
    </x:row>
    <x:row r="11">
      <x:c r="A11" t="str">
        <x:v>2935 U</x:v>
      </x:c>
      <x:c r="B11" t="str">
        <x:v>SAFE - system formula used</x:v>
      </x:c>
      <x:c r="C11" t="str">
        <x:v>Extender</x:v>
      </x:c>
      <x:c r="D11" t="n">
        <x:v>39.606</x:v>
      </x:c>
      <x:c r="E11" t="str">
        <x:f>IF(A11=$B$3,$B$4,"")</x:f>
      </x:c>
      <x:c r="F11" t="str">
        <x:f>IF(E11="","",E11*D11/100)</x:f>
      </x:c>
      <x:c r="G11" t="str"/>
    </x:row>
    <x:row r="12">
      <x:c r="A12" t="str">
        <x:v>299 U</x:v>
      </x:c>
      <x:c r="B12" t="str">
        <x:v>SAFE - finalized shop formula</x:v>
      </x:c>
      <x:c r="C12" t="str">
        <x:v>Extender</x:v>
      </x:c>
      <x:c r="D12" t="n">
        <x:v>80.52</x:v>
      </x:c>
      <x:c r="E12" t="n">
        <x:f>IF(A12=$B$3,$B$4,"")</x:f>
        <x:v>15</x:v>
      </x:c>
      <x:c r="F12" t="n">
        <x:f>IF(E12="","",E12*D12/100)</x:f>
        <x:v>12.078</x:v>
      </x:c>
      <x:c r="G12" t="str">
        <x:v>Finalized from clean test batch. No black. Avoid old mixer formula.</x:v>
      </x:c>
    </x:row>
    <x:row r="13">
      <x:c r="A13" t="str">
        <x:v>299 U</x:v>
      </x:c>
      <x:c r="B13" t="str">
        <x:v>SAFE - finalized shop formula</x:v>
      </x:c>
      <x:c r="C13" t="str">
        <x:v>Blue 15:3</x:v>
      </x:c>
      <x:c r="D13" t="n">
        <x:v>17.97</x:v>
      </x:c>
      <x:c r="E13" t="n">
        <x:f>IF(A13=$B$3,$B$4,"")</x:f>
        <x:v>15</x:v>
      </x:c>
      <x:c r="F13" t="n">
        <x:f>IF(E13="","",E13*D13/100)</x:f>
        <x:v>2.6954999999999996</x:v>
      </x:c>
      <x:c r="G13" t="str">
        <x:v>Old formula was too weak; black dirtied the color. This is the cleaner formula to save.</x:v>
      </x:c>
    </x:row>
    <x:row r="14">
      <x:c r="A14" t="str">
        <x:v>299 U</x:v>
      </x:c>
      <x:c r="B14" t="str">
        <x:v>SAFE - finalized shop formula</x:v>
      </x:c>
      <x:c r="C14" t="str">
        <x:v>23 Methyl Violet</x:v>
      </x:c>
      <x:c r="D14" t="n">
        <x:v>1.51</x:v>
      </x:c>
      <x:c r="E14" t="n">
        <x:f>IF(A14=$B$3,$B$4,"")</x:f>
        <x:v>15</x:v>
      </x:c>
      <x:c r="F14" t="n">
        <x:f>IF(E14="","",E14*D14/100)</x:f>
        <x:v>0.22649999999999998</x:v>
      </x:c>
      <x:c r="G14" t="str">
        <x:v>No black.</x:v>
      </x:c>
    </x:row>
    <x:row r="15">
      <x:c r="A15" t="str">
        <x:v>2001 U</x:v>
      </x:c>
      <x:c r="B15" t="str">
        <x:v>SAFE - press-developed flood formula</x:v>
      </x:c>
      <x:c r="C15" t="str">
        <x:v>Extender</x:v>
      </x:c>
      <x:c r="D15" t="n">
        <x:v>90.91</x:v>
      </x:c>
      <x:c r="E15" t="str">
        <x:f>IF(A15=$B$3,$B$4,"")</x:f>
      </x:c>
      <x:c r="F15" t="str">
        <x:f>IF(E15="","",E15*D15/100)</x:f>
      </x:c>
      <x:c r="G15" t="str">
        <x:v>User-reported final: 40 lb extender + 4 lb Yellow 23.</x:v>
      </x:c>
    </x:row>
    <x:row r="16">
      <x:c r="A16" t="str">
        <x:v>2001 U</x:v>
      </x:c>
      <x:c r="B16" t="str">
        <x:v>SAFE - press-developed flood formula</x:v>
      </x:c>
      <x:c r="C16" t="str">
        <x:v>23 Yellow 14</x:v>
      </x:c>
      <x:c r="D16" t="n">
        <x:v>9.09</x:v>
      </x:c>
      <x:c r="E16" t="str">
        <x:f>IF(A16=$B$3,$B$4,"")</x:f>
      </x:c>
      <x:c r="F16" t="str">
        <x:f>IF(E16="","",E16*D16/100)</x:f>
      </x:c>
      <x:c r="G16" t="str">
        <x:v>Use Process Yellow only if shop explicitly changes formula; final note was Yellow 23/14 + extender.</x:v>
      </x:c>
    </x:row>
    <x:row r="17">
      <x:c r="A17" t="str">
        <x:v>456 U</x:v>
      </x:c>
      <x:c r="B17" t="str">
        <x:v>USE WITH CAUTION - drawdown close; press pending</x:v>
      </x:c>
      <x:c r="C17" t="str">
        <x:v>Extender</x:v>
      </x:c>
      <x:c r="D17" t="n">
        <x:v>70.9</x:v>
      </x:c>
      <x:c r="E17" t="str">
        <x:f>IF(A17=$B$3,$B$4,"")</x:f>
      </x:c>
      <x:c r="F17" t="str">
        <x:f>IF(E17="","",E17*D17/100)</x:f>
      </x:c>
      <x:c r="G17" t="str">
        <x:v>Made from safer first-shot formula; adjusted with +0.10 black and +0.06 Red 22. Press feedback pending.</x:v>
      </x:c>
    </x:row>
    <x:row r="18">
      <x:c r="A18" t="str">
        <x:v>456 U</x:v>
      </x:c>
      <x:c r="B18" t="str">
        <x:v>USE WITH CAUTION - drawdown close; press pending</x:v>
      </x:c>
      <x:c r="C18" t="str">
        <x:v>23 Yellow 14</x:v>
      </x:c>
      <x:c r="D18" t="n">
        <x:v>24.1</x:v>
      </x:c>
      <x:c r="E18" t="str">
        <x:f>IF(A18=$B$3,$B$4,"")</x:f>
      </x:c>
      <x:c r="F18" t="str">
        <x:f>IF(E18="","",E18*D18/100)</x:f>
      </x:c>
      <x:c r="G18" t="str"/>
    </x:row>
    <x:row r="19">
      <x:c r="A19" t="str">
        <x:v>456 U</x:v>
      </x:c>
      <x:c r="B19" t="str">
        <x:v>USE WITH CAUTION - drawdown close; press pending</x:v>
      </x:c>
      <x:c r="C19" t="str">
        <x:v>Eclipse Black</x:v>
      </x:c>
      <x:c r="D19" t="n">
        <x:v>3.6</x:v>
      </x:c>
      <x:c r="E19" t="str">
        <x:f>IF(A19=$B$3,$B$4,"")</x:f>
      </x:c>
      <x:c r="F19" t="str">
        <x:f>IF(E19="","",E19*D19/100)</x:f>
      </x:c>
      <x:c r="G19" t="str">
        <x:v>Black darkens/dirty fast; do not add much more without drawdown.</x:v>
      </x:c>
    </x:row>
    <x:row r="20">
      <x:c r="A20" t="str">
        <x:v>456 U</x:v>
      </x:c>
      <x:c r="B20" t="str">
        <x:v>USE WITH CAUTION - drawdown close; press pending</x:v>
      </x:c>
      <x:c r="C20" t="str">
        <x:v>23 Red 22</x:v>
      </x:c>
      <x:c r="D20" t="n">
        <x:v>1.4</x:v>
      </x:c>
      <x:c r="E20" t="str">
        <x:f>IF(A20=$B$3,$B$4,"")</x:f>
      </x:c>
      <x:c r="F20" t="str">
        <x:f>IF(E20="","",E20*D20/100)</x:f>
      </x:c>
      <x:c r="G20" t="str"/>
    </x:row>
    <x:row r="21">
      <x:c r="A21" t="str">
        <x:v>0131 U</x:v>
      </x:c>
      <x:c r="B21" t="str">
        <x:v>USE WITH CAUTION - correction in progress</x:v>
      </x:c>
      <x:c r="C21" t="str">
        <x:v>Extender</x:v>
      </x:c>
      <x:c r="D21" t="n">
        <x:v>95.04</x:v>
      </x:c>
      <x:c r="E21" t="str">
        <x:f>IF(A21=$B$3,$B$4,"")</x:f>
      </x:c>
      <x:c r="F21" t="str">
        <x:f>IF(E21="","",E21*D21/100)</x:f>
      </x:c>
      <x:c r="G21" t="str">
        <x:v>After Process Yellow overshoot and extender additions; likely still needs drawdown/press confirmation.</x:v>
      </x:c>
    </x:row>
    <x:row r="22">
      <x:c r="A22" t="str">
        <x:v>0131 U</x:v>
      </x:c>
      <x:c r="B22" t="str">
        <x:v>USE WITH CAUTION - correction in progress</x:v>
      </x:c>
      <x:c r="C22" t="str">
        <x:v>Process Yellow</x:v>
      </x:c>
      <x:c r="D22" t="n">
        <x:v>4.66</x:v>
      </x:c>
      <x:c r="E22" t="str">
        <x:f>IF(A22=$B$3,$B$4,"")</x:f>
      </x:c>
      <x:c r="F22" t="str">
        <x:f>IF(E22="","",E22*D22/100)</x:f>
      </x:c>
      <x:c r="G22" t="str">
        <x:v>Use Process Yellow as main yellow; 23 Yellow 14 only tiny.</x:v>
      </x:c>
    </x:row>
    <x:row r="23">
      <x:c r="A23" t="str">
        <x:v>0131 U</x:v>
      </x:c>
      <x:c r="B23" t="str">
        <x:v>USE WITH CAUTION - correction in progress</x:v>
      </x:c>
      <x:c r="C23" t="str">
        <x:v>23 Yellow 14</x:v>
      </x:c>
      <x:c r="D23" t="n">
        <x:v>0.29</x:v>
      </x:c>
      <x:c r="E23" t="str">
        <x:f>IF(A23=$B$3,$B$4,"")</x:f>
      </x:c>
      <x:c r="F23" t="str">
        <x:f>IF(E23="","",E23*D23/100)</x:f>
      </x:c>
      <x:c r="G23" t="str"/>
    </x:row>
    <x:row r="24">
      <x:c r="A24" t="str">
        <x:v>510 U</x:v>
      </x:c>
      <x:c r="B24" t="str">
        <x:v>NOT FINAL - clean test direction only</x:v>
      </x:c>
      <x:c r="C24" t="str">
        <x:v>Extender</x:v>
      </x:c>
      <x:c r="D24" t="n">
        <x:v>95.78</x:v>
      </x:c>
      <x:c r="E24" t="str">
        <x:f>IF(A24=$B$3,$B$4,"")</x:f>
      </x:c>
      <x:c r="F24" t="str">
        <x:f>IF(E24="","",E24*D24/100)</x:f>
      </x:c>
      <x:c r="G24" t="str">
        <x:v>Red-only batch was clean but still too coral; more extender did little. Suggested next tiny Blue 15:3 = 0.03 lb on 17.77 lb batch, but not confirmed.</x:v>
      </x:c>
    </x:row>
    <x:row r="25">
      <x:c r="A25" t="str">
        <x:v>510 U</x:v>
      </x:c>
      <x:c r="B25" t="str">
        <x:v>NOT FINAL - clean test direction only</x:v>
      </x:c>
      <x:c r="C25" t="str">
        <x:v>23 Red 22</x:v>
      </x:c>
      <x:c r="D25" t="n">
        <x:v>4.22</x:v>
      </x:c>
      <x:c r="E25" t="str">
        <x:f>IF(A25=$B$3,$B$4,"")</x:f>
      </x:c>
      <x:c r="F25" t="str">
        <x:f>IF(E25="","",E25*D25/100)</x:f>
      </x:c>
      <x:c r="G25" t="str">
        <x:v>Do not use old blue/yellow heavy batch; it went brown/mauve.</x:v>
      </x:c>
    </x:row>
    <x:row r="26">
      <x:c r="A26" t="str">
        <x:v>540</x:v>
      </x:c>
      <x:c r="B26" t="str">
        <x:v>SYSTEM FORMULA - not independently tested here</x:v>
      </x:c>
      <x:c r="C26" t="str">
        <x:v>Blue 15:3</x:v>
      </x:c>
      <x:c r="D26" t="n">
        <x:v>55.47</x:v>
      </x:c>
      <x:c r="E26" t="str">
        <x:f>IF(A26=$B$3,$B$4,"")</x:f>
      </x:c>
      <x:c r="F26" t="str">
        <x:f>IF(E26="","",E26*D26/100)</x:f>
      </x:c>
      <x:c r="G26" t="str">
        <x:v>User asked to scale this formula to 200 lb.</x:v>
      </x:c>
    </x:row>
    <x:row r="27">
      <x:c r="A27" t="str">
        <x:v>540</x:v>
      </x:c>
      <x:c r="B27" t="str">
        <x:v>SYSTEM FORMULA - not independently tested here</x:v>
      </x:c>
      <x:c r="C27" t="str">
        <x:v>23 Methyl Violet</x:v>
      </x:c>
      <x:c r="D27" t="n">
        <x:v>26.71</x:v>
      </x:c>
      <x:c r="E27" t="str">
        <x:f>IF(A27=$B$3,$B$4,"")</x:f>
      </x:c>
      <x:c r="F27" t="str">
        <x:f>IF(E27="","",E27*D27/100)</x:f>
      </x:c>
      <x:c r="G27" t="str"/>
    </x:row>
    <x:row r="28">
      <x:c r="A28" t="str">
        <x:v>540</x:v>
      </x:c>
      <x:c r="B28" t="str">
        <x:v>SYSTEM FORMULA - not independently tested here</x:v>
      </x:c>
      <x:c r="C28" t="str">
        <x:v>23 Yellow 14</x:v>
      </x:c>
      <x:c r="D28" t="n">
        <x:v>10.96</x:v>
      </x:c>
      <x:c r="E28" t="str">
        <x:f>IF(A28=$B$3,$B$4,"")</x:f>
      </x:c>
      <x:c r="F28" t="str">
        <x:f>IF(E28="","",E28*D28/100)</x:f>
      </x:c>
      <x:c r="G28" t="str"/>
    </x:row>
    <x:row r="29">
      <x:c r="A29" t="str">
        <x:v>540</x:v>
      </x:c>
      <x:c r="B29" t="str">
        <x:v>SYSTEM FORMULA - not independently tested here</x:v>
      </x:c>
      <x:c r="C29" t="str">
        <x:v>Eclipse Black</x:v>
      </x:c>
      <x:c r="D29" t="n">
        <x:v>6.86</x:v>
      </x:c>
      <x:c r="E29" t="str">
        <x:f>IF(A29=$B$3,$B$4,"")</x:f>
      </x:c>
      <x:c r="F29" t="str">
        <x:f>IF(E29="","",E29*D29/100)</x:f>
      </x:c>
      <x:c r="G29" t="str"/>
    </x:row>
    <x:row r="30">
      <x:c r="A30" t="str">
        <x:v>703 U</x:v>
      </x:c>
      <x:c r="B30" t="str">
        <x:v>DRAFT - suggested safer formula</x:v>
      </x:c>
      <x:c r="C30" t="str">
        <x:v>Extender</x:v>
      </x:c>
      <x:c r="D30" t="n">
        <x:v>60</x:v>
      </x:c>
      <x:c r="E30" t="str">
        <x:f>IF(A30=$B$3,$B$4,"")</x:f>
      </x:c>
      <x:c r="F30" t="str">
        <x:f>IF(E30="","",E30*D30/100)</x:f>
      </x:c>
      <x:c r="G30" t="str">
        <x:v>Suggested from comparison to old 1 lb formula; not yet drawdown-tested.</x:v>
      </x:c>
    </x:row>
    <x:row r="31">
      <x:c r="A31" t="str">
        <x:v>703 U</x:v>
      </x:c>
      <x:c r="B31" t="str">
        <x:v>DRAFT - suggested safer formula</x:v>
      </x:c>
      <x:c r="C31" t="str">
        <x:v>23 Red 22 / 22 Red 23</x:v>
      </x:c>
      <x:c r="D31" t="n">
        <x:v>28</x:v>
      </x:c>
      <x:c r="E31" t="str">
        <x:f>IF(A31=$B$3,$B$4,"")</x:f>
      </x:c>
      <x:c r="F31" t="str">
        <x:f>IF(E31="","",E31*D31/100)</x:f>
      </x:c>
      <x:c r="G31" t="str">
        <x:v>If using old named 22 Red 23, map to shop equivalent.</x:v>
      </x:c>
    </x:row>
    <x:row r="32">
      <x:c r="A32" t="str">
        <x:v>703 U</x:v>
      </x:c>
      <x:c r="B32" t="str">
        <x:v>DRAFT - suggested safer formula</x:v>
      </x:c>
      <x:c r="C32" t="str">
        <x:v>Rubine Red</x:v>
      </x:c>
      <x:c r="D32" t="n">
        <x:v>10.5</x:v>
      </x:c>
      <x:c r="E32" t="str">
        <x:f>IF(A32=$B$3,$B$4,"")</x:f>
      </x:c>
      <x:c r="F32" t="str">
        <x:f>IF(E32="","",E32*D32/100)</x:f>
      </x:c>
      <x:c r="G32" t="str"/>
    </x:row>
    <x:row r="33">
      <x:c r="A33" t="str">
        <x:v>703 U</x:v>
      </x:c>
      <x:c r="B33" t="str">
        <x:v>DRAFT - suggested safer formula</x:v>
      </x:c>
      <x:c r="C33" t="str">
        <x:v>Eclipse Black</x:v>
      </x:c>
      <x:c r="D33" t="n">
        <x:v>1.5</x:v>
      </x:c>
      <x:c r="E33" t="str">
        <x:f>IF(A33=$B$3,$B$4,"")</x:f>
      </x:c>
      <x:c r="F33" t="str">
        <x:f>IF(E33="","",E33*D33/100)</x:f>
      </x:c>
      <x:c r="G33" t="str">
        <x:v>Old formula black was nearly 5%, likely too dirty.</x:v>
      </x:c>
    </x:row>
    <x:row r="34">
      <x:c r="A34" t="str">
        <x:v>186 U</x:v>
      </x:c>
      <x:c r="B34" t="str">
        <x:v>DRAFT - suggested from 185 U base</x:v>
      </x:c>
      <x:c r="C34" t="str">
        <x:v>185 U premade ink</x:v>
      </x:c>
      <x:c r="D34" t="n">
        <x:v>85</x:v>
      </x:c>
      <x:c r="E34" t="str">
        <x:f>IF(A34=$B$3,$B$4,"")</x:f>
      </x:c>
      <x:c r="F34" t="str">
        <x:f>IF(E34="","",E34*D34/100)</x:f>
      </x:c>
      <x:c r="G34" t="str">
        <x:v>Suggested only if 185 U premade is available.</x:v>
      </x:c>
    </x:row>
    <x:row r="35">
      <x:c r="A35" t="str">
        <x:v>186 U</x:v>
      </x:c>
      <x:c r="B35" t="str">
        <x:v>DRAFT - suggested from 185 U base</x:v>
      </x:c>
      <x:c r="C35" t="str">
        <x:v>Rubine Red</x:v>
      </x:c>
      <x:c r="D35" t="n">
        <x:v>10</x:v>
      </x:c>
      <x:c r="E35" t="str">
        <x:f>IF(A35=$B$3,$B$4,"")</x:f>
      </x:c>
      <x:c r="F35" t="str">
        <x:f>IF(E35="","",E35*D35/100)</x:f>
      </x:c>
      <x:c r="G35" t="str"/>
    </x:row>
    <x:row r="36">
      <x:c r="A36" t="str">
        <x:v>186 U</x:v>
      </x:c>
      <x:c r="B36" t="str">
        <x:v>DRAFT - suggested from 185 U base</x:v>
      </x:c>
      <x:c r="C36" t="str">
        <x:v>23 Red 22</x:v>
      </x:c>
      <x:c r="D36" t="n">
        <x:v>5</x:v>
      </x:c>
      <x:c r="E36" t="str">
        <x:f>IF(A36=$B$3,$B$4,"")</x:f>
      </x:c>
      <x:c r="F36" t="str">
        <x:f>IF(E36="","",E36*D36/100)</x:f>
      </x:c>
      <x:c r="G36" t="str"/>
    </x:row>
    <x:row r="37">
      <x:c r="A37" t="str">
        <x:v>2582 U</x:v>
      </x:c>
      <x:c r="B37" t="str">
        <x:v>HOLD - use INX buckets first</x:v>
      </x:c>
      <x:c r="C37" t="str">
        <x:v>INX premade 2582 U</x:v>
      </x:c>
      <x:c r="D37" t="n">
        <x:v>100</x:v>
      </x:c>
      <x:c r="E37" t="str">
        <x:f>IF(A37=$B$3,$B$4,"")</x:f>
      </x:c>
      <x:c r="F37" t="str">
        <x:f>IF(E37="","",E37*D37/100)</x:f>
      </x:c>
      <x:c r="G37" t="str">
        <x:v>Use 4 existing 5-gallon INX buckets first. Match shop formula to INX/press-approved ink later.</x:v>
      </x:c>
    </x:row>
    <x:row r="38">
      <x:c r="A38" t="str">
        <x:v>2582 U</x:v>
      </x:c>
      <x:c r="B38" t="str">
        <x:v>REFERENCE ONLY - Pantone card components not shop equivalents</x:v>
      </x:c>
      <x:c r="C38" t="str">
        <x:v>Real Purple</x:v>
      </x:c>
      <x:c r="D38" t="n">
        <x:v>24.31</x:v>
      </x:c>
      <x:c r="E38" t="str">
        <x:f>IF(A38=$B$3,$B$4,"")</x:f>
      </x:c>
      <x:c r="F38" t="str">
        <x:f>IF(E38="","",E38*D38/100)</x:f>
      </x:c>
      <x:c r="G38" t="str">
        <x:v>Do not enter as shop formula unless the mixer has Real Purple.</x:v>
      </x:c>
    </x:row>
    <x:row r="39">
      <x:c r="A39" t="str">
        <x:v>2582 U</x:v>
      </x:c>
      <x:c r="B39" t="str">
        <x:v>REFERENCE ONLY - Pantone card components not shop equivalents</x:v>
      </x:c>
      <x:c r="C39" t="str">
        <x:v>Violet V2</x:v>
      </x:c>
      <x:c r="D39" t="n">
        <x:v>8.9</x:v>
      </x:c>
      <x:c r="E39" t="str">
        <x:f>IF(A39=$B$3,$B$4,"")</x:f>
      </x:c>
      <x:c r="F39" t="str">
        <x:f>IF(E39="","",E39*D39/100)</x:f>
      </x:c>
      <x:c r="G39" t="str"/>
    </x:row>
    <x:row r="40">
      <x:c r="A40" t="str">
        <x:v>2582 U</x:v>
      </x:c>
      <x:c r="B40" t="str">
        <x:v>REFERENCE ONLY - Pantone card components not shop equivalents</x:v>
      </x:c>
      <x:c r="C40" t="str">
        <x:v>Trans. Wt. / Extender</x:v>
      </x:c>
      <x:c r="D40" t="n">
        <x:v>66.79</x:v>
      </x:c>
      <x:c r="E40" t="str">
        <x:f>IF(A40=$B$3,$B$4,"")</x:f>
      </x:c>
      <x:c r="F40" t="str">
        <x:f>IF(E40="","",E40*D40/100)</x:f>
      </x:c>
      <x:c r="G40" t="str"/>
    </x:row>
    <x:row r="41">
      <x:c r="A41" t="str">
        <x:v>4141 U</x:v>
      </x:c>
      <x:c r="B41" t="str">
        <x:v>REFERENCE ONLY - no final shop weights captured</x:v>
      </x:c>
      <x:c r="C41" t="str">
        <x:v>Pro Blue</x:v>
      </x:c>
      <x:c r="D41" t="n">
        <x:v>14.45</x:v>
      </x:c>
      <x:c r="E41" t="str">
        <x:f>IF(A41=$B$3,$B$4,"")</x:f>
      </x:c>
      <x:c r="F41" t="str">
        <x:f>IF(E41="","",E41*D41/100)</x:f>
      </x:c>
      <x:c r="G41" t="str">
        <x:v>Visual match was corrected by eye. Final added amounts were not captured; do not quote as finalized shop formula.</x:v>
      </x:c>
    </x:row>
    <x:row r="42">
      <x:c r="A42" t="str">
        <x:v>4141 U</x:v>
      </x:c>
      <x:c r="B42" t="str">
        <x:v>REFERENCE ONLY - no final shop weights captured</x:v>
      </x:c>
      <x:c r="C42" t="str">
        <x:v>Violet V2</x:v>
      </x:c>
      <x:c r="D42" t="n">
        <x:v>14.26</x:v>
      </x:c>
      <x:c r="E42" t="str">
        <x:f>IF(A42=$B$3,$B$4,"")</x:f>
      </x:c>
      <x:c r="F42" t="str">
        <x:f>IF(E42="","",E42*D42/100)</x:f>
      </x:c>
      <x:c r="G42" t="str"/>
    </x:row>
    <x:row r="43">
      <x:c r="A43" t="str">
        <x:v>4141 U</x:v>
      </x:c>
      <x:c r="B43" t="str">
        <x:v>REFERENCE ONLY - no final shop weights captured</x:v>
      </x:c>
      <x:c r="C43" t="str">
        <x:v>Black</x:v>
      </x:c>
      <x:c r="D43" t="n">
        <x:v>3.35</x:v>
      </x:c>
      <x:c r="E43" t="str">
        <x:f>IF(A43=$B$3,$B$4,"")</x:f>
      </x:c>
      <x:c r="F43" t="str">
        <x:f>IF(E43="","",E43*D43/100)</x:f>
      </x:c>
      <x:c r="G43" t="str"/>
    </x:row>
    <x:row r="44">
      <x:c r="A44" t="str">
        <x:v>4141 U</x:v>
      </x:c>
      <x:c r="B44" t="str">
        <x:v>REFERENCE ONLY - no final shop weights captured</x:v>
      </x:c>
      <x:c r="C44" t="str">
        <x:v>Trans. Wt. / Extender</x:v>
      </x:c>
      <x:c r="D44" t="n">
        <x:v>67.94</x:v>
      </x:c>
      <x:c r="E44" t="str">
        <x:f>IF(A44=$B$3,$B$4,"")</x:f>
      </x:c>
      <x:c r="F44" t="str">
        <x:f>IF(E44="","",E44*D44/100)</x:f>
      </x:c>
      <x:c r="G44" t="str"/>
    </x:row>
  </x:sheetData>
  <x:mergeCells>
    <x:mergeCell ref="A1:G1"/>
  </x:mergeCells>
  <x:dataValidations count="1">
    <x:dataValidation type="list" sqref="B3">
      <x:formula1>Formula_Summary!$A$2:$A$100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f090633504435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95" hidden="0" customWidth="1"/>
  </x:cols>
  <x:sheetData>
    <x:row r="1">
      <x:c r="A1" s="34" t="str">
        <x:v>Color / Batch</x:v>
      </x:c>
      <x:c r="B1" s="34" t="str">
        <x:v>Status</x:v>
      </x:c>
      <x:c r="C1" s="34" t="str">
        <x:v>Reason / Safe Note</x:v>
      </x:c>
    </x:row>
    <x:row r="2">
      <x:c r="A2" t="str">
        <x:v>151 U Flood</x:v>
      </x:c>
      <x:c r="B2" t="str">
        <x:v>Do not use as saved formula</x:v>
      </x:c>
      <x:c r="C2" t="str">
        <x:v>Flood attempts from 157 U base printed too light; press added unknown Yellow and 23 Red 22. Final added weights were not captured.</x:v>
      </x:c>
    </x:row>
    <x:row r="3">
      <x:c r="A3" t="str">
        <x:v>212 U</x:v>
      </x:c>
      <x:c r="B3" t="str">
        <x:v>Do not use as saved formula</x:v>
      </x:c>
      <x:c r="C3" t="str">
        <x:v>Press correction was by eye with Rubine Red, extender, and 23 Red 22. Final weights not captured.</x:v>
      </x:c>
    </x:row>
    <x:row r="4">
      <x:c r="A4" t="str">
        <x:v>2184 U</x:v>
      </x:c>
      <x:c r="B4" t="str">
        <x:v>Do not use as saved formula</x:v>
      </x:c>
      <x:c r="C4" t="str">
        <x:v>Blue/violet/black correction was by eye; no reliable final weights captured.</x:v>
      </x:c>
    </x:row>
    <x:row r="5">
      <x:c r="A5" t="str">
        <x:v>510 U first flood attempt</x:v>
      </x:c>
      <x:c r="B5" t="str">
        <x:v>Abandoned</x:v>
      </x:c>
      <x:c r="C5" t="str">
        <x:v>84/12/2/2 formula went dirty brown/mauve. Do not reuse.</x:v>
      </x:c>
    </x:row>
    <x:row r="6">
      <x:c r="A6" t="str">
        <x:v>299 U old mixer formula</x:v>
      </x:c>
      <x:c r="B6" t="str">
        <x:v>Abandoned</x:v>
      </x:c>
      <x:c r="C6" t="str">
        <x:v>Old 15 lb formula 11.73 extender / 3.06 Blue / 0.215 Methyl Violet was too weak; black corrections dirtied it. Use new 299 formula instead.</x:v>
      </x:c>
    </x:row>
  </x:sheetData>
  <x:pageMargins left="0.7" right="0.7" top="0.75" bottom="0.75" header="0.3" footer="0.3"/>
  <x:tableParts count="1">
    <x:tablePart xmlns:r="http://schemas.openxmlformats.org/officeDocument/2006/relationships" r:id="Rc7dfbbe2344a4d6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5" hidden="0" customWidth="1"/>
  </x:cols>
  <x:sheetData>
    <x:row r="1">
      <x:c r="A1" s="4" t="str">
        <x:v>INK FORMULAS SAFE COPY - 2026-06-11</x:v>
      </x:c>
      <x:c r="B1" s="4"/>
    </x:row>
    <x:row r="3">
      <x:c r="A3" s="8" t="str">
        <x:v>Purpose</x:v>
      </x:c>
      <x:c r="B3" s="9" t="str">
        <x:v>Machine-readable backup of shop ink formulas for JARVIS while Jonathan is away.</x:v>
      </x:c>
    </x:row>
    <x:row r="4">
      <x:c r="A4" s="8" t="str">
        <x:v>Important</x:v>
      </x:c>
      <x:c r="B4" s="9" t="str">
        <x:v>Only formulas marked SAFE should be given to operators as usable formulas without warning.</x:v>
      </x:c>
    </x:row>
    <x:row r="5">
      <x:c r="A5" s="8" t="str">
        <x:v>Use caution</x:v>
      </x:c>
      <x:c r="B5" s="9" t="str">
        <x:v>USE WITH CAUTION, DRAFT, HOLD, and REFERENCE rows require Jonathan/ink-room verification or press feedback.</x:v>
      </x:c>
    </x:row>
    <x:row r="6">
      <x:c r="A6" s="8" t="str">
        <x:v>Flood-coat rule</x:v>
      </x:c>
      <x:c r="B6" s="9" t="str">
        <x:v>Flood coats often print lighter than drawdowns; however very pale colors like 510 U still need high extender.</x:v>
      </x:c>
    </x:row>
    <x:row r="7">
      <x:c r="A7" s="8" t="str">
        <x:v>Black rule</x:v>
      </x:c>
      <x:c r="B7" s="9" t="str">
        <x:v>Black dirties colors fast. Avoid black unless the formula calls for it or press/drawdown clearly proves it.</x:v>
      </x:c>
    </x:row>
    <x:row r="8">
      <x:c r="A8" s="8" t="str">
        <x:v>Unknown-by-eye colors</x:v>
      </x:c>
      <x:c r="B8" s="9" t="str">
        <x:v>Colors adjusted by eye without captured weights are listed in Do_Not_Use_Notes, not as safe formulas.</x:v>
      </x:c>
    </x:row>
    <x:row r="9">
      <x:c r="A9" s="8" t="str">
        <x:v>Date</x:v>
      </x:c>
      <x:c r="B9" s="9" t="str">
        <x:v>2026-06-11</x:v>
      </x:c>
    </x:row>
    <x:row r="10">
      <x:c r="A10" s="8" t="str">
        <x:v>Component naming</x:v>
      </x:c>
      <x:c r="B10" s="9" t="str">
        <x:v>Use local shop component names exactly where possible: Blue 15:3, 23 Methyl Violet, 23 Yellow 14, 23 Red 22, Eclipse Black, Extender.</x:v>
      </x:c>
    </x:row>
    <x:row r="11">
      <x:c r="A11" s="8" t="str">
        <x:v>JARVIS behavior</x:v>
      </x:c>
      <x:c r="B11" s="9" t="str">
        <x:v>When a formula status is not SAFE, JARVIS should say it is not finalized and should not present it as a proven mix.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>
      <x:c r="A1" s="26" t="str">
        <x:v>Common Batch Amounts - Formula Amounts in Pounds</x:v>
      </x:c>
      <x:c r="B1" s="9"/>
      <x:c r="C1" s="9"/>
      <x:c r="D1" s="27"/>
      <x:c r="E1" s="27"/>
      <x:c r="F1" s="27"/>
      <x:c r="G1" s="27"/>
      <x:c r="H1" s="27"/>
      <x:c r="I1" s="27"/>
      <x:c r="J1" s="27"/>
      <x:c r="K1" s="27"/>
      <x:c r="L1" s="27"/>
      <x:c r="M1" s="27"/>
    </x:row>
    <x:row r="3">
      <x:c r="A3" s="12" t="str">
        <x:v>Pantone / Color</x:v>
      </x:c>
      <x:c r="B3" s="12" t="str">
        <x:v>Status</x:v>
      </x:c>
      <x:c r="C3" s="12" t="str">
        <x:v>Component</x:v>
      </x:c>
      <x:c r="D3" s="12" t="str">
        <x:v>Percent</x:v>
      </x:c>
      <x:c r="E3" s="12" t="str">
        <x:v>5 lb</x:v>
      </x:c>
      <x:c r="F3" s="12" t="str">
        <x:v>10 lb</x:v>
      </x:c>
      <x:c r="G3" s="12" t="str">
        <x:v>15 lb</x:v>
      </x:c>
      <x:c r="H3" s="12" t="str">
        <x:v>20 lb</x:v>
      </x:c>
      <x:c r="I3" s="12" t="str">
        <x:v>50 lb</x:v>
      </x:c>
      <x:c r="J3" s="12" t="str">
        <x:v>100 lb</x:v>
      </x:c>
      <x:c r="K3" s="12" t="str">
        <x:v>200 lb</x:v>
      </x:c>
      <x:c r="L3" s="12" t="str">
        <x:v>300 lb</x:v>
      </x:c>
      <x:c r="M3" s="12" t="str">
        <x:v>400 lb</x:v>
      </x:c>
    </x:row>
    <x:row r="4">
      <x:c r="A4" t="str">
        <x:v>2935 U</x:v>
      </x:c>
      <x:c r="B4" t="str">
        <x:v>SAFE - system formula used</x:v>
      </x:c>
      <x:c r="C4" t="str">
        <x:v>Blue 15:3</x:v>
      </x:c>
      <x:c r="D4" t="n">
        <x:v>53.095</x:v>
      </x:c>
      <x:c r="E4" t="n">
        <x:f>D4*5/100</x:f>
        <x:v>2.6547500000000004</x:v>
      </x:c>
      <x:c r="F4" t="n">
        <x:f>D4*10/100</x:f>
        <x:v>5.309500000000001</x:v>
      </x:c>
      <x:c r="G4" t="n">
        <x:f>D4*15/100</x:f>
        <x:v>7.96425</x:v>
      </x:c>
      <x:c r="H4" t="n">
        <x:f>D4*20/100</x:f>
        <x:v>10.619000000000002</x:v>
      </x:c>
      <x:c r="I4" t="n">
        <x:f>D4*50/100</x:f>
        <x:v>26.5475</x:v>
      </x:c>
      <x:c r="J4" t="n">
        <x:f>D4*100/100</x:f>
        <x:v>53.095</x:v>
      </x:c>
      <x:c r="K4" t="n">
        <x:f>D4*200/100</x:f>
        <x:v>106.19</x:v>
      </x:c>
      <x:c r="L4" t="n">
        <x:f>D4*300/100</x:f>
        <x:v>159.285</x:v>
      </x:c>
      <x:c r="M4" t="n">
        <x:f>D4*400/100</x:f>
        <x:v>212.38</x:v>
      </x:c>
    </x:row>
    <x:row r="5">
      <x:c r="A5" t="str">
        <x:v>2935 U</x:v>
      </x:c>
      <x:c r="B5" t="str">
        <x:v>SAFE - system formula used</x:v>
      </x:c>
      <x:c r="C5" t="str">
        <x:v>23 Methyl Violet</x:v>
      </x:c>
      <x:c r="D5" t="n">
        <x:v>5.809</x:v>
      </x:c>
      <x:c r="E5" t="n">
        <x:f>D5*5/100</x:f>
        <x:v>0.29045000000000004</x:v>
      </x:c>
      <x:c r="F5" t="n">
        <x:f>D5*10/100</x:f>
        <x:v>0.5809000000000001</x:v>
      </x:c>
      <x:c r="G5" t="n">
        <x:f>D5*15/100</x:f>
        <x:v>0.8713500000000001</x:v>
      </x:c>
      <x:c r="H5" t="n">
        <x:f>D5*20/100</x:f>
        <x:v>1.1618000000000002</x:v>
      </x:c>
      <x:c r="I5" t="n">
        <x:f>D5*50/100</x:f>
        <x:v>2.9045</x:v>
      </x:c>
      <x:c r="J5" t="n">
        <x:f>D5*100/100</x:f>
        <x:v>5.809</x:v>
      </x:c>
      <x:c r="K5" t="n">
        <x:f>D5*200/100</x:f>
        <x:v>11.618</x:v>
      </x:c>
      <x:c r="L5" t="n">
        <x:f>D5*300/100</x:f>
        <x:v>17.427</x:v>
      </x:c>
      <x:c r="M5" t="n">
        <x:f>D5*400/100</x:f>
        <x:v>23.236</x:v>
      </x:c>
    </x:row>
    <x:row r="6">
      <x:c r="A6" t="str">
        <x:v>2935 U</x:v>
      </x:c>
      <x:c r="B6" t="str">
        <x:v>SAFE - system formula used</x:v>
      </x:c>
      <x:c r="C6" t="str">
        <x:v>Eclipse Black</x:v>
      </x:c>
      <x:c r="D6" t="n">
        <x:v>1.49</x:v>
      </x:c>
      <x:c r="E6" t="n">
        <x:f>D6*5/100</x:f>
        <x:v>0.0745</x:v>
      </x:c>
      <x:c r="F6" t="n">
        <x:f>D6*10/100</x:f>
        <x:v>0.149</x:v>
      </x:c>
      <x:c r="G6" t="n">
        <x:f>D6*15/100</x:f>
        <x:v>0.2235</x:v>
      </x:c>
      <x:c r="H6" t="n">
        <x:f>D6*20/100</x:f>
        <x:v>0.298</x:v>
      </x:c>
      <x:c r="I6" t="n">
        <x:f>D6*50/100</x:f>
        <x:v>0.745</x:v>
      </x:c>
      <x:c r="J6" t="n">
        <x:f>D6*100/100</x:f>
        <x:v>1.49</x:v>
      </x:c>
      <x:c r="K6" t="n">
        <x:f>D6*200/100</x:f>
        <x:v>2.98</x:v>
      </x:c>
      <x:c r="L6" t="n">
        <x:f>D6*300/100</x:f>
        <x:v>4.47</x:v>
      </x:c>
      <x:c r="M6" t="n">
        <x:f>D6*400/100</x:f>
        <x:v>5.96</x:v>
      </x:c>
    </x:row>
    <x:row r="7">
      <x:c r="A7" t="str">
        <x:v>2935 U</x:v>
      </x:c>
      <x:c r="B7" t="str">
        <x:v>SAFE - system formula used</x:v>
      </x:c>
      <x:c r="C7" t="str">
        <x:v>Extender</x:v>
      </x:c>
      <x:c r="D7" t="n">
        <x:v>39.606</x:v>
      </x:c>
      <x:c r="E7" t="n">
        <x:f>D7*5/100</x:f>
        <x:v>1.9803</x:v>
      </x:c>
      <x:c r="F7" t="n">
        <x:f>D7*10/100</x:f>
        <x:v>3.9606</x:v>
      </x:c>
      <x:c r="G7" t="n">
        <x:f>D7*15/100</x:f>
        <x:v>5.9409</x:v>
      </x:c>
      <x:c r="H7" t="n">
        <x:f>D7*20/100</x:f>
        <x:v>7.9212</x:v>
      </x:c>
      <x:c r="I7" t="n">
        <x:f>D7*50/100</x:f>
        <x:v>19.803</x:v>
      </x:c>
      <x:c r="J7" t="n">
        <x:f>D7*100/100</x:f>
        <x:v>39.606</x:v>
      </x:c>
      <x:c r="K7" t="n">
        <x:f>D7*200/100</x:f>
        <x:v>79.212</x:v>
      </x:c>
      <x:c r="L7" t="n">
        <x:f>D7*300/100</x:f>
        <x:v>118.81800000000001</x:v>
      </x:c>
      <x:c r="M7" t="n">
        <x:f>D7*400/100</x:f>
        <x:v>158.424</x:v>
      </x:c>
    </x:row>
    <x:row r="8">
      <x:c r="A8" t="str">
        <x:v>299 U</x:v>
      </x:c>
      <x:c r="B8" t="str">
        <x:v>SAFE - finalized shop formula</x:v>
      </x:c>
      <x:c r="C8" t="str">
        <x:v>Extender</x:v>
      </x:c>
      <x:c r="D8" t="n">
        <x:v>80.52</x:v>
      </x:c>
      <x:c r="E8" t="n">
        <x:f>D8*5/100</x:f>
        <x:v>4.026</x:v>
      </x:c>
      <x:c r="F8" t="n">
        <x:f>D8*10/100</x:f>
        <x:v>8.052</x:v>
      </x:c>
      <x:c r="G8" t="n">
        <x:f>D8*15/100</x:f>
        <x:v>12.078</x:v>
      </x:c>
      <x:c r="H8" t="n">
        <x:f>D8*20/100</x:f>
        <x:v>16.104</x:v>
      </x:c>
      <x:c r="I8" t="n">
        <x:f>D8*50/100</x:f>
        <x:v>40.26</x:v>
      </x:c>
      <x:c r="J8" t="n">
        <x:f>D8*100/100</x:f>
        <x:v>80.52</x:v>
      </x:c>
      <x:c r="K8" t="n">
        <x:f>D8*200/100</x:f>
        <x:v>161.04</x:v>
      </x:c>
      <x:c r="L8" t="n">
        <x:f>D8*300/100</x:f>
        <x:v>241.56</x:v>
      </x:c>
      <x:c r="M8" t="n">
        <x:f>D8*400/100</x:f>
        <x:v>322.08</x:v>
      </x:c>
    </x:row>
    <x:row r="9">
      <x:c r="A9" t="str">
        <x:v>299 U</x:v>
      </x:c>
      <x:c r="B9" t="str">
        <x:v>SAFE - finalized shop formula</x:v>
      </x:c>
      <x:c r="C9" t="str">
        <x:v>Blue 15:3</x:v>
      </x:c>
      <x:c r="D9" t="n">
        <x:v>17.97</x:v>
      </x:c>
      <x:c r="E9" t="n">
        <x:f>D9*5/100</x:f>
        <x:v>0.8985</x:v>
      </x:c>
      <x:c r="F9" t="n">
        <x:f>D9*10/100</x:f>
        <x:v>1.797</x:v>
      </x:c>
      <x:c r="G9" t="n">
        <x:f>D9*15/100</x:f>
        <x:v>2.6954999999999996</x:v>
      </x:c>
      <x:c r="H9" t="n">
        <x:f>D9*20/100</x:f>
        <x:v>3.594</x:v>
      </x:c>
      <x:c r="I9" t="n">
        <x:f>D9*50/100</x:f>
        <x:v>8.985</x:v>
      </x:c>
      <x:c r="J9" t="n">
        <x:f>D9*100/100</x:f>
        <x:v>17.97</x:v>
      </x:c>
      <x:c r="K9" t="n">
        <x:f>D9*200/100</x:f>
        <x:v>35.94</x:v>
      </x:c>
      <x:c r="L9" t="n">
        <x:f>D9*300/100</x:f>
        <x:v>53.91</x:v>
      </x:c>
      <x:c r="M9" t="n">
        <x:f>D9*400/100</x:f>
        <x:v>71.88</x:v>
      </x:c>
    </x:row>
    <x:row r="10">
      <x:c r="A10" t="str">
        <x:v>299 U</x:v>
      </x:c>
      <x:c r="B10" t="str">
        <x:v>SAFE - finalized shop formula</x:v>
      </x:c>
      <x:c r="C10" t="str">
        <x:v>23 Methyl Violet</x:v>
      </x:c>
      <x:c r="D10" t="n">
        <x:v>1.51</x:v>
      </x:c>
      <x:c r="E10" t="n">
        <x:f>D10*5/100</x:f>
        <x:v>0.0755</x:v>
      </x:c>
      <x:c r="F10" t="n">
        <x:f>D10*10/100</x:f>
        <x:v>0.151</x:v>
      </x:c>
      <x:c r="G10" t="n">
        <x:f>D10*15/100</x:f>
        <x:v>0.22649999999999998</x:v>
      </x:c>
      <x:c r="H10" t="n">
        <x:f>D10*20/100</x:f>
        <x:v>0.302</x:v>
      </x:c>
      <x:c r="I10" t="n">
        <x:f>D10*50/100</x:f>
        <x:v>0.755</x:v>
      </x:c>
      <x:c r="J10" t="n">
        <x:f>D10*100/100</x:f>
        <x:v>1.51</x:v>
      </x:c>
      <x:c r="K10" t="n">
        <x:f>D10*200/100</x:f>
        <x:v>3.02</x:v>
      </x:c>
      <x:c r="L10" t="n">
        <x:f>D10*300/100</x:f>
        <x:v>4.53</x:v>
      </x:c>
      <x:c r="M10" t="n">
        <x:f>D10*400/100</x:f>
        <x:v>6.04</x:v>
      </x:c>
    </x:row>
    <x:row r="11">
      <x:c r="A11" t="str">
        <x:v>2001 U</x:v>
      </x:c>
      <x:c r="B11" t="str">
        <x:v>SAFE - press-developed flood formula</x:v>
      </x:c>
      <x:c r="C11" t="str">
        <x:v>Extender</x:v>
      </x:c>
      <x:c r="D11" t="n">
        <x:v>90.91</x:v>
      </x:c>
      <x:c r="E11" t="n">
        <x:f>D11*5/100</x:f>
        <x:v>4.5455</x:v>
      </x:c>
      <x:c r="F11" t="n">
        <x:f>D11*10/100</x:f>
        <x:v>9.091</x:v>
      </x:c>
      <x:c r="G11" t="n">
        <x:f>D11*15/100</x:f>
        <x:v>13.636499999999998</x:v>
      </x:c>
      <x:c r="H11" t="n">
        <x:f>D11*20/100</x:f>
        <x:v>18.182</x:v>
      </x:c>
      <x:c r="I11" t="n">
        <x:f>D11*50/100</x:f>
        <x:v>45.455</x:v>
      </x:c>
      <x:c r="J11" t="n">
        <x:f>D11*100/100</x:f>
        <x:v>90.91</x:v>
      </x:c>
      <x:c r="K11" t="n">
        <x:f>D11*200/100</x:f>
        <x:v>181.82</x:v>
      </x:c>
      <x:c r="L11" t="n">
        <x:f>D11*300/100</x:f>
        <x:v>272.73</x:v>
      </x:c>
      <x:c r="M11" t="n">
        <x:f>D11*400/100</x:f>
        <x:v>363.64</x:v>
      </x:c>
    </x:row>
    <x:row r="12">
      <x:c r="A12" t="str">
        <x:v>2001 U</x:v>
      </x:c>
      <x:c r="B12" t="str">
        <x:v>SAFE - press-developed flood formula</x:v>
      </x:c>
      <x:c r="C12" t="str">
        <x:v>23 Yellow 14</x:v>
      </x:c>
      <x:c r="D12" t="n">
        <x:v>9.09</x:v>
      </x:c>
      <x:c r="E12" t="n">
        <x:f>D12*5/100</x:f>
        <x:v>0.4545</x:v>
      </x:c>
      <x:c r="F12" t="n">
        <x:f>D12*10/100</x:f>
        <x:v>0.909</x:v>
      </x:c>
      <x:c r="G12" t="n">
        <x:f>D12*15/100</x:f>
        <x:v>1.3635</x:v>
      </x:c>
      <x:c r="H12" t="n">
        <x:f>D12*20/100</x:f>
        <x:v>1.818</x:v>
      </x:c>
      <x:c r="I12" t="n">
        <x:f>D12*50/100</x:f>
        <x:v>4.545</x:v>
      </x:c>
      <x:c r="J12" t="n">
        <x:f>D12*100/100</x:f>
        <x:v>9.09</x:v>
      </x:c>
      <x:c r="K12" t="n">
        <x:f>D12*200/100</x:f>
        <x:v>18.18</x:v>
      </x:c>
      <x:c r="L12" t="n">
        <x:f>D12*300/100</x:f>
        <x:v>27.27</x:v>
      </x:c>
      <x:c r="M12" t="n">
        <x:f>D12*400/100</x:f>
        <x:v>36.36</x:v>
      </x:c>
    </x:row>
    <x:row r="13">
      <x:c r="A13" t="str">
        <x:v>456 U</x:v>
      </x:c>
      <x:c r="B13" t="str">
        <x:v>USE WITH CAUTION - drawdown close; press pending</x:v>
      </x:c>
      <x:c r="C13" t="str">
        <x:v>Extender</x:v>
      </x:c>
      <x:c r="D13" t="n">
        <x:v>70.9</x:v>
      </x:c>
      <x:c r="E13" t="n">
        <x:f>D13*5/100</x:f>
        <x:v>3.545</x:v>
      </x:c>
      <x:c r="F13" t="n">
        <x:f>D13*10/100</x:f>
        <x:v>7.09</x:v>
      </x:c>
      <x:c r="G13" t="n">
        <x:f>D13*15/100</x:f>
        <x:v>10.635</x:v>
      </x:c>
      <x:c r="H13" t="n">
        <x:f>D13*20/100</x:f>
        <x:v>14.18</x:v>
      </x:c>
      <x:c r="I13" t="n">
        <x:f>D13*50/100</x:f>
        <x:v>35.45</x:v>
      </x:c>
      <x:c r="J13" t="n">
        <x:f>D13*100/100</x:f>
        <x:v>70.9</x:v>
      </x:c>
      <x:c r="K13" t="n">
        <x:f>D13*200/100</x:f>
        <x:v>141.8</x:v>
      </x:c>
      <x:c r="L13" t="n">
        <x:f>D13*300/100</x:f>
        <x:v>212.7</x:v>
      </x:c>
      <x:c r="M13" t="n">
        <x:f>D13*400/100</x:f>
        <x:v>283.6</x:v>
      </x:c>
    </x:row>
    <x:row r="14">
      <x:c r="A14" t="str">
        <x:v>456 U</x:v>
      </x:c>
      <x:c r="B14" t="str">
        <x:v>USE WITH CAUTION - drawdown close; press pending</x:v>
      </x:c>
      <x:c r="C14" t="str">
        <x:v>23 Yellow 14</x:v>
      </x:c>
      <x:c r="D14" t="n">
        <x:v>24.1</x:v>
      </x:c>
      <x:c r="E14" t="n">
        <x:f>D14*5/100</x:f>
        <x:v>1.205</x:v>
      </x:c>
      <x:c r="F14" t="n">
        <x:f>D14*10/100</x:f>
        <x:v>2.41</x:v>
      </x:c>
      <x:c r="G14" t="n">
        <x:f>D14*15/100</x:f>
        <x:v>3.615</x:v>
      </x:c>
      <x:c r="H14" t="n">
        <x:f>D14*20/100</x:f>
        <x:v>4.82</x:v>
      </x:c>
      <x:c r="I14" t="n">
        <x:f>D14*50/100</x:f>
        <x:v>12.05</x:v>
      </x:c>
      <x:c r="J14" t="n">
        <x:f>D14*100/100</x:f>
        <x:v>24.1</x:v>
      </x:c>
      <x:c r="K14" t="n">
        <x:f>D14*200/100</x:f>
        <x:v>48.2</x:v>
      </x:c>
      <x:c r="L14" t="n">
        <x:f>D14*300/100</x:f>
        <x:v>72.3</x:v>
      </x:c>
      <x:c r="M14" t="n">
        <x:f>D14*400/100</x:f>
        <x:v>96.4</x:v>
      </x:c>
    </x:row>
    <x:row r="15">
      <x:c r="A15" t="str">
        <x:v>456 U</x:v>
      </x:c>
      <x:c r="B15" t="str">
        <x:v>USE WITH CAUTION - drawdown close; press pending</x:v>
      </x:c>
      <x:c r="C15" t="str">
        <x:v>Eclipse Black</x:v>
      </x:c>
      <x:c r="D15" t="n">
        <x:v>3.6</x:v>
      </x:c>
      <x:c r="E15" t="n">
        <x:f>D15*5/100</x:f>
        <x:v>0.18</x:v>
      </x:c>
      <x:c r="F15" t="n">
        <x:f>D15*10/100</x:f>
        <x:v>0.36</x:v>
      </x:c>
      <x:c r="G15" t="n">
        <x:f>D15*15/100</x:f>
        <x:v>0.54</x:v>
      </x:c>
      <x:c r="H15" t="n">
        <x:f>D15*20/100</x:f>
        <x:v>0.72</x:v>
      </x:c>
      <x:c r="I15" t="n">
        <x:f>D15*50/100</x:f>
        <x:v>1.8</x:v>
      </x:c>
      <x:c r="J15" t="n">
        <x:f>D15*100/100</x:f>
        <x:v>3.6</x:v>
      </x:c>
      <x:c r="K15" t="n">
        <x:f>D15*200/100</x:f>
        <x:v>7.2</x:v>
      </x:c>
      <x:c r="L15" t="n">
        <x:f>D15*300/100</x:f>
        <x:v>10.8</x:v>
      </x:c>
      <x:c r="M15" t="n">
        <x:f>D15*400/100</x:f>
        <x:v>14.4</x:v>
      </x:c>
    </x:row>
    <x:row r="16">
      <x:c r="A16" t="str">
        <x:v>456 U</x:v>
      </x:c>
      <x:c r="B16" t="str">
        <x:v>USE WITH CAUTION - drawdown close; press pending</x:v>
      </x:c>
      <x:c r="C16" t="str">
        <x:v>23 Red 22</x:v>
      </x:c>
      <x:c r="D16" t="n">
        <x:v>1.4</x:v>
      </x:c>
      <x:c r="E16" t="n">
        <x:f>D16*5/100</x:f>
        <x:v>0.07</x:v>
      </x:c>
      <x:c r="F16" t="n">
        <x:f>D16*10/100</x:f>
        <x:v>0.14</x:v>
      </x:c>
      <x:c r="G16" t="n">
        <x:f>D16*15/100</x:f>
        <x:v>0.21</x:v>
      </x:c>
      <x:c r="H16" t="n">
        <x:f>D16*20/100</x:f>
        <x:v>0.28</x:v>
      </x:c>
      <x:c r="I16" t="n">
        <x:f>D16*50/100</x:f>
        <x:v>0.7</x:v>
      </x:c>
      <x:c r="J16" t="n">
        <x:f>D16*100/100</x:f>
        <x:v>1.4</x:v>
      </x:c>
      <x:c r="K16" t="n">
        <x:f>D16*200/100</x:f>
        <x:v>2.8</x:v>
      </x:c>
      <x:c r="L16" t="n">
        <x:f>D16*300/100</x:f>
        <x:v>4.2</x:v>
      </x:c>
      <x:c r="M16" t="n">
        <x:f>D16*400/100</x:f>
        <x:v>5.6</x:v>
      </x:c>
    </x:row>
    <x:row r="17">
      <x:c r="A17" t="str">
        <x:v>0131 U</x:v>
      </x:c>
      <x:c r="B17" t="str">
        <x:v>USE WITH CAUTION - correction in progress</x:v>
      </x:c>
      <x:c r="C17" t="str">
        <x:v>Extender</x:v>
      </x:c>
      <x:c r="D17" t="n">
        <x:v>95.04</x:v>
      </x:c>
      <x:c r="E17" t="n">
        <x:f>D17*5/100</x:f>
        <x:v>4.752000000000001</x:v>
      </x:c>
      <x:c r="F17" t="n">
        <x:f>D17*10/100</x:f>
        <x:v>9.504000000000001</x:v>
      </x:c>
      <x:c r="G17" t="n">
        <x:f>D17*15/100</x:f>
        <x:v>14.256000000000002</x:v>
      </x:c>
      <x:c r="H17" t="n">
        <x:f>D17*20/100</x:f>
        <x:v>19.008000000000003</x:v>
      </x:c>
      <x:c r="I17" t="n">
        <x:f>D17*50/100</x:f>
        <x:v>47.52</x:v>
      </x:c>
      <x:c r="J17" t="n">
        <x:f>D17*100/100</x:f>
        <x:v>95.04</x:v>
      </x:c>
      <x:c r="K17" t="n">
        <x:f>D17*200/100</x:f>
        <x:v>190.08</x:v>
      </x:c>
      <x:c r="L17" t="n">
        <x:f>D17*300/100</x:f>
        <x:v>285.12000000000006</x:v>
      </x:c>
      <x:c r="M17" t="n">
        <x:f>D17*400/100</x:f>
        <x:v>380.16</x:v>
      </x:c>
    </x:row>
    <x:row r="18">
      <x:c r="A18" t="str">
        <x:v>0131 U</x:v>
      </x:c>
      <x:c r="B18" t="str">
        <x:v>USE WITH CAUTION - correction in progress</x:v>
      </x:c>
      <x:c r="C18" t="str">
        <x:v>Process Yellow</x:v>
      </x:c>
      <x:c r="D18" t="n">
        <x:v>4.66</x:v>
      </x:c>
      <x:c r="E18" t="n">
        <x:f>D18*5/100</x:f>
        <x:v>0.233</x:v>
      </x:c>
      <x:c r="F18" t="n">
        <x:f>D18*10/100</x:f>
        <x:v>0.466</x:v>
      </x:c>
      <x:c r="G18" t="n">
        <x:f>D18*15/100</x:f>
        <x:v>0.6990000000000001</x:v>
      </x:c>
      <x:c r="H18" t="n">
        <x:f>D18*20/100</x:f>
        <x:v>0.932</x:v>
      </x:c>
      <x:c r="I18" t="n">
        <x:f>D18*50/100</x:f>
        <x:v>2.33</x:v>
      </x:c>
      <x:c r="J18" t="n">
        <x:f>D18*100/100</x:f>
        <x:v>4.66</x:v>
      </x:c>
      <x:c r="K18" t="n">
        <x:f>D18*200/100</x:f>
        <x:v>9.32</x:v>
      </x:c>
      <x:c r="L18" t="n">
        <x:f>D18*300/100</x:f>
        <x:v>13.98</x:v>
      </x:c>
      <x:c r="M18" t="n">
        <x:f>D18*400/100</x:f>
        <x:v>18.64</x:v>
      </x:c>
    </x:row>
    <x:row r="19">
      <x:c r="A19" t="str">
        <x:v>0131 U</x:v>
      </x:c>
      <x:c r="B19" t="str">
        <x:v>USE WITH CAUTION - correction in progress</x:v>
      </x:c>
      <x:c r="C19" t="str">
        <x:v>23 Yellow 14</x:v>
      </x:c>
      <x:c r="D19" t="n">
        <x:v>0.29</x:v>
      </x:c>
      <x:c r="E19" t="n">
        <x:f>D19*5/100</x:f>
        <x:v>0.014499999999999999</x:v>
      </x:c>
      <x:c r="F19" t="n">
        <x:f>D19*10/100</x:f>
        <x:v>0.028999999999999998</x:v>
      </x:c>
      <x:c r="G19" t="n">
        <x:f>D19*15/100</x:f>
        <x:v>0.0435</x:v>
      </x:c>
      <x:c r="H19" t="n">
        <x:f>D19*20/100</x:f>
        <x:v>0.057999999999999996</x:v>
      </x:c>
      <x:c r="I19" t="n">
        <x:f>D19*50/100</x:f>
        <x:v>0.145</x:v>
      </x:c>
      <x:c r="J19" t="n">
        <x:f>D19*100/100</x:f>
        <x:v>0.29</x:v>
      </x:c>
      <x:c r="K19" t="n">
        <x:f>D19*200/100</x:f>
        <x:v>0.58</x:v>
      </x:c>
      <x:c r="L19" t="n">
        <x:f>D19*300/100</x:f>
        <x:v>0.87</x:v>
      </x:c>
      <x:c r="M19" t="n">
        <x:f>D19*400/100</x:f>
        <x:v>1.16</x:v>
      </x:c>
    </x:row>
    <x:row r="20">
      <x:c r="A20" t="str">
        <x:v>510 U</x:v>
      </x:c>
      <x:c r="B20" t="str">
        <x:v>NOT FINAL - clean test direction only</x:v>
      </x:c>
      <x:c r="C20" t="str">
        <x:v>Extender</x:v>
      </x:c>
      <x:c r="D20" t="n">
        <x:v>95.78</x:v>
      </x:c>
      <x:c r="E20" t="n">
        <x:f>D20*5/100</x:f>
        <x:v>4.789</x:v>
      </x:c>
      <x:c r="F20" t="n">
        <x:f>D20*10/100</x:f>
        <x:v>9.578</x:v>
      </x:c>
      <x:c r="G20" t="n">
        <x:f>D20*15/100</x:f>
        <x:v>14.367</x:v>
      </x:c>
      <x:c r="H20" t="n">
        <x:f>D20*20/100</x:f>
        <x:v>19.156</x:v>
      </x:c>
      <x:c r="I20" t="n">
        <x:f>D20*50/100</x:f>
        <x:v>47.89</x:v>
      </x:c>
      <x:c r="J20" t="n">
        <x:f>D20*100/100</x:f>
        <x:v>95.78</x:v>
      </x:c>
      <x:c r="K20" t="n">
        <x:f>D20*200/100</x:f>
        <x:v>191.56</x:v>
      </x:c>
      <x:c r="L20" t="n">
        <x:f>D20*300/100</x:f>
        <x:v>287.34</x:v>
      </x:c>
      <x:c r="M20" t="n">
        <x:f>D20*400/100</x:f>
        <x:v>383.12</x:v>
      </x:c>
    </x:row>
    <x:row r="21">
      <x:c r="A21" t="str">
        <x:v>510 U</x:v>
      </x:c>
      <x:c r="B21" t="str">
        <x:v>NOT FINAL - clean test direction only</x:v>
      </x:c>
      <x:c r="C21" t="str">
        <x:v>23 Red 22</x:v>
      </x:c>
      <x:c r="D21" t="n">
        <x:v>4.22</x:v>
      </x:c>
      <x:c r="E21" t="n">
        <x:f>D21*5/100</x:f>
        <x:v>0.21099999999999997</x:v>
      </x:c>
      <x:c r="F21" t="n">
        <x:f>D21*10/100</x:f>
        <x:v>0.42199999999999993</x:v>
      </x:c>
      <x:c r="G21" t="n">
        <x:f>D21*15/100</x:f>
        <x:v>0.633</x:v>
      </x:c>
      <x:c r="H21" t="n">
        <x:f>D21*20/100</x:f>
        <x:v>0.8439999999999999</x:v>
      </x:c>
      <x:c r="I21" t="n">
        <x:f>D21*50/100</x:f>
        <x:v>2.11</x:v>
      </x:c>
      <x:c r="J21" t="n">
        <x:f>D21*100/100</x:f>
        <x:v>4.22</x:v>
      </x:c>
      <x:c r="K21" t="n">
        <x:f>D21*200/100</x:f>
        <x:v>8.44</x:v>
      </x:c>
      <x:c r="L21" t="n">
        <x:f>D21*300/100</x:f>
        <x:v>12.66</x:v>
      </x:c>
      <x:c r="M21" t="n">
        <x:f>D21*400/100</x:f>
        <x:v>16.88</x:v>
      </x:c>
    </x:row>
    <x:row r="22">
      <x:c r="A22" t="str">
        <x:v>540</x:v>
      </x:c>
      <x:c r="B22" t="str">
        <x:v>SYSTEM FORMULA - not independently tested here</x:v>
      </x:c>
      <x:c r="C22" t="str">
        <x:v>Blue 15:3</x:v>
      </x:c>
      <x:c r="D22" t="n">
        <x:v>55.47</x:v>
      </x:c>
      <x:c r="E22" t="n">
        <x:f>D22*5/100</x:f>
        <x:v>2.7735000000000003</x:v>
      </x:c>
      <x:c r="F22" t="n">
        <x:f>D22*10/100</x:f>
        <x:v>5.547000000000001</x:v>
      </x:c>
      <x:c r="G22" t="n">
        <x:f>D22*15/100</x:f>
        <x:v>8.3205</x:v>
      </x:c>
      <x:c r="H22" t="n">
        <x:f>D22*20/100</x:f>
        <x:v>11.094000000000001</x:v>
      </x:c>
      <x:c r="I22" t="n">
        <x:f>D22*50/100</x:f>
        <x:v>27.735</x:v>
      </x:c>
      <x:c r="J22" t="n">
        <x:f>D22*100/100</x:f>
        <x:v>55.47</x:v>
      </x:c>
      <x:c r="K22" t="n">
        <x:f>D22*200/100</x:f>
        <x:v>110.94</x:v>
      </x:c>
      <x:c r="L22" t="n">
        <x:f>D22*300/100</x:f>
        <x:v>166.41</x:v>
      </x:c>
      <x:c r="M22" t="n">
        <x:f>D22*400/100</x:f>
        <x:v>221.88</x:v>
      </x:c>
    </x:row>
    <x:row r="23">
      <x:c r="A23" t="str">
        <x:v>540</x:v>
      </x:c>
      <x:c r="B23" t="str">
        <x:v>SYSTEM FORMULA - not independently tested here</x:v>
      </x:c>
      <x:c r="C23" t="str">
        <x:v>23 Methyl Violet</x:v>
      </x:c>
      <x:c r="D23" t="n">
        <x:v>26.71</x:v>
      </x:c>
      <x:c r="E23" t="n">
        <x:f>D23*5/100</x:f>
        <x:v>1.3355000000000001</x:v>
      </x:c>
      <x:c r="F23" t="n">
        <x:f>D23*10/100</x:f>
        <x:v>2.6710000000000003</x:v>
      </x:c>
      <x:c r="G23" t="n">
        <x:f>D23*15/100</x:f>
        <x:v>4.0065</x:v>
      </x:c>
      <x:c r="H23" t="n">
        <x:f>D23*20/100</x:f>
        <x:v>5.3420000000000005</x:v>
      </x:c>
      <x:c r="I23" t="n">
        <x:f>D23*50/100</x:f>
        <x:v>13.355</x:v>
      </x:c>
      <x:c r="J23" t="n">
        <x:f>D23*100/100</x:f>
        <x:v>26.71</x:v>
      </x:c>
      <x:c r="K23" t="n">
        <x:f>D23*200/100</x:f>
        <x:v>53.42</x:v>
      </x:c>
      <x:c r="L23" t="n">
        <x:f>D23*300/100</x:f>
        <x:v>80.13</x:v>
      </x:c>
      <x:c r="M23" t="n">
        <x:f>D23*400/100</x:f>
        <x:v>106.84</x:v>
      </x:c>
    </x:row>
    <x:row r="24">
      <x:c r="A24" t="str">
        <x:v>540</x:v>
      </x:c>
      <x:c r="B24" t="str">
        <x:v>SYSTEM FORMULA - not independently tested here</x:v>
      </x:c>
      <x:c r="C24" t="str">
        <x:v>23 Yellow 14</x:v>
      </x:c>
      <x:c r="D24" t="n">
        <x:v>10.96</x:v>
      </x:c>
      <x:c r="E24" t="n">
        <x:f>D24*5/100</x:f>
        <x:v>0.548</x:v>
      </x:c>
      <x:c r="F24" t="n">
        <x:f>D24*10/100</x:f>
        <x:v>1.096</x:v>
      </x:c>
      <x:c r="G24" t="n">
        <x:f>D24*15/100</x:f>
        <x:v>1.6440000000000001</x:v>
      </x:c>
      <x:c r="H24" t="n">
        <x:f>D24*20/100</x:f>
        <x:v>2.192</x:v>
      </x:c>
      <x:c r="I24" t="n">
        <x:f>D24*50/100</x:f>
        <x:v>5.48</x:v>
      </x:c>
      <x:c r="J24" t="n">
        <x:f>D24*100/100</x:f>
        <x:v>10.96</x:v>
      </x:c>
      <x:c r="K24" t="n">
        <x:f>D24*200/100</x:f>
        <x:v>21.92</x:v>
      </x:c>
      <x:c r="L24" t="n">
        <x:f>D24*300/100</x:f>
        <x:v>32.88</x:v>
      </x:c>
      <x:c r="M24" t="n">
        <x:f>D24*400/100</x:f>
        <x:v>43.84</x:v>
      </x:c>
    </x:row>
    <x:row r="25">
      <x:c r="A25" t="str">
        <x:v>540</x:v>
      </x:c>
      <x:c r="B25" t="str">
        <x:v>SYSTEM FORMULA - not independently tested here</x:v>
      </x:c>
      <x:c r="C25" t="str">
        <x:v>Eclipse Black</x:v>
      </x:c>
      <x:c r="D25" t="n">
        <x:v>6.86</x:v>
      </x:c>
      <x:c r="E25" t="n">
        <x:f>D25*5/100</x:f>
        <x:v>0.343</x:v>
      </x:c>
      <x:c r="F25" t="n">
        <x:f>D25*10/100</x:f>
        <x:v>0.686</x:v>
      </x:c>
      <x:c r="G25" t="n">
        <x:f>D25*15/100</x:f>
        <x:v>1.0290000000000001</x:v>
      </x:c>
      <x:c r="H25" t="n">
        <x:f>D25*20/100</x:f>
        <x:v>1.372</x:v>
      </x:c>
      <x:c r="I25" t="n">
        <x:f>D25*50/100</x:f>
        <x:v>3.43</x:v>
      </x:c>
      <x:c r="J25" t="n">
        <x:f>D25*100/100</x:f>
        <x:v>6.86</x:v>
      </x:c>
      <x:c r="K25" t="n">
        <x:f>D25*200/100</x:f>
        <x:v>13.72</x:v>
      </x:c>
      <x:c r="L25" t="n">
        <x:f>D25*300/100</x:f>
        <x:v>20.58</x:v>
      </x:c>
      <x:c r="M25" t="n">
        <x:f>D25*400/100</x:f>
        <x:v>27.44</x:v>
      </x:c>
    </x:row>
    <x:row r="26">
      <x:c r="A26" t="str">
        <x:v>703 U</x:v>
      </x:c>
      <x:c r="B26" t="str">
        <x:v>DRAFT - suggested safer formula</x:v>
      </x:c>
      <x:c r="C26" t="str">
        <x:v>Extender</x:v>
      </x:c>
      <x:c r="D26" t="n">
        <x:v>60</x:v>
      </x:c>
      <x:c r="E26" t="n">
        <x:f>D26*5/100</x:f>
        <x:v>3</x:v>
      </x:c>
      <x:c r="F26" t="n">
        <x:f>D26*10/100</x:f>
        <x:v>6</x:v>
      </x:c>
      <x:c r="G26" t="n">
        <x:f>D26*15/100</x:f>
        <x:v>9</x:v>
      </x:c>
      <x:c r="H26" t="n">
        <x:f>D26*20/100</x:f>
        <x:v>12</x:v>
      </x:c>
      <x:c r="I26" t="n">
        <x:f>D26*50/100</x:f>
        <x:v>30</x:v>
      </x:c>
      <x:c r="J26" t="n">
        <x:f>D26*100/100</x:f>
        <x:v>60</x:v>
      </x:c>
      <x:c r="K26" t="n">
        <x:f>D26*200/100</x:f>
        <x:v>120</x:v>
      </x:c>
      <x:c r="L26" t="n">
        <x:f>D26*300/100</x:f>
        <x:v>180</x:v>
      </x:c>
      <x:c r="M26" t="n">
        <x:f>D26*400/100</x:f>
        <x:v>240</x:v>
      </x:c>
    </x:row>
    <x:row r="27">
      <x:c r="A27" t="str">
        <x:v>703 U</x:v>
      </x:c>
      <x:c r="B27" t="str">
        <x:v>DRAFT - suggested safer formula</x:v>
      </x:c>
      <x:c r="C27" t="str">
        <x:v>23 Red 22 / 22 Red 23</x:v>
      </x:c>
      <x:c r="D27" t="n">
        <x:v>28</x:v>
      </x:c>
      <x:c r="E27" t="n">
        <x:f>D27*5/100</x:f>
        <x:v>1.4</x:v>
      </x:c>
      <x:c r="F27" t="n">
        <x:f>D27*10/100</x:f>
        <x:v>2.8</x:v>
      </x:c>
      <x:c r="G27" t="n">
        <x:f>D27*15/100</x:f>
        <x:v>4.2</x:v>
      </x:c>
      <x:c r="H27" t="n">
        <x:f>D27*20/100</x:f>
        <x:v>5.6</x:v>
      </x:c>
      <x:c r="I27" t="n">
        <x:f>D27*50/100</x:f>
        <x:v>14</x:v>
      </x:c>
      <x:c r="J27" t="n">
        <x:f>D27*100/100</x:f>
        <x:v>28</x:v>
      </x:c>
      <x:c r="K27" t="n">
        <x:f>D27*200/100</x:f>
        <x:v>56</x:v>
      </x:c>
      <x:c r="L27" t="n">
        <x:f>D27*300/100</x:f>
        <x:v>84</x:v>
      </x:c>
      <x:c r="M27" t="n">
        <x:f>D27*400/100</x:f>
        <x:v>112</x:v>
      </x:c>
    </x:row>
    <x:row r="28">
      <x:c r="A28" t="str">
        <x:v>703 U</x:v>
      </x:c>
      <x:c r="B28" t="str">
        <x:v>DRAFT - suggested safer formula</x:v>
      </x:c>
      <x:c r="C28" t="str">
        <x:v>Rubine Red</x:v>
      </x:c>
      <x:c r="D28" t="n">
        <x:v>10.5</x:v>
      </x:c>
      <x:c r="E28" t="n">
        <x:f>D28*5/100</x:f>
        <x:v>0.525</x:v>
      </x:c>
      <x:c r="F28" t="n">
        <x:f>D28*10/100</x:f>
        <x:v>1.05</x:v>
      </x:c>
      <x:c r="G28" t="n">
        <x:f>D28*15/100</x:f>
        <x:v>1.575</x:v>
      </x:c>
      <x:c r="H28" t="n">
        <x:f>D28*20/100</x:f>
        <x:v>2.1</x:v>
      </x:c>
      <x:c r="I28" t="n">
        <x:f>D28*50/100</x:f>
        <x:v>5.25</x:v>
      </x:c>
      <x:c r="J28" t="n">
        <x:f>D28*100/100</x:f>
        <x:v>10.5</x:v>
      </x:c>
      <x:c r="K28" t="n">
        <x:f>D28*200/100</x:f>
        <x:v>21</x:v>
      </x:c>
      <x:c r="L28" t="n">
        <x:f>D28*300/100</x:f>
        <x:v>31.5</x:v>
      </x:c>
      <x:c r="M28" t="n">
        <x:f>D28*400/100</x:f>
        <x:v>42</x:v>
      </x:c>
    </x:row>
    <x:row r="29">
      <x:c r="A29" t="str">
        <x:v>703 U</x:v>
      </x:c>
      <x:c r="B29" t="str">
        <x:v>DRAFT - suggested safer formula</x:v>
      </x:c>
      <x:c r="C29" t="str">
        <x:v>Eclipse Black</x:v>
      </x:c>
      <x:c r="D29" t="n">
        <x:v>1.5</x:v>
      </x:c>
      <x:c r="E29" t="n">
        <x:f>D29*5/100</x:f>
        <x:v>0.075</x:v>
      </x:c>
      <x:c r="F29" t="n">
        <x:f>D29*10/100</x:f>
        <x:v>0.15</x:v>
      </x:c>
      <x:c r="G29" t="n">
        <x:f>D29*15/100</x:f>
        <x:v>0.225</x:v>
      </x:c>
      <x:c r="H29" t="n">
        <x:f>D29*20/100</x:f>
        <x:v>0.3</x:v>
      </x:c>
      <x:c r="I29" t="n">
        <x:f>D29*50/100</x:f>
        <x:v>0.75</x:v>
      </x:c>
      <x:c r="J29" t="n">
        <x:f>D29*100/100</x:f>
        <x:v>1.5</x:v>
      </x:c>
      <x:c r="K29" t="n">
        <x:f>D29*200/100</x:f>
        <x:v>3</x:v>
      </x:c>
      <x:c r="L29" t="n">
        <x:f>D29*300/100</x:f>
        <x:v>4.5</x:v>
      </x:c>
      <x:c r="M29" t="n">
        <x:f>D29*400/100</x:f>
        <x:v>6</x:v>
      </x:c>
    </x:row>
    <x:row r="30">
      <x:c r="A30" t="str">
        <x:v>186 U</x:v>
      </x:c>
      <x:c r="B30" t="str">
        <x:v>DRAFT - suggested from 185 U base</x:v>
      </x:c>
      <x:c r="C30" t="str">
        <x:v>185 U premade ink</x:v>
      </x:c>
      <x:c r="D30" t="n">
        <x:v>85</x:v>
      </x:c>
      <x:c r="E30" t="n">
        <x:f>D30*5/100</x:f>
        <x:v>4.25</x:v>
      </x:c>
      <x:c r="F30" t="n">
        <x:f>D30*10/100</x:f>
        <x:v>8.5</x:v>
      </x:c>
      <x:c r="G30" t="n">
        <x:f>D30*15/100</x:f>
        <x:v>12.75</x:v>
      </x:c>
      <x:c r="H30" t="n">
        <x:f>D30*20/100</x:f>
        <x:v>17</x:v>
      </x:c>
      <x:c r="I30" t="n">
        <x:f>D30*50/100</x:f>
        <x:v>42.5</x:v>
      </x:c>
      <x:c r="J30" t="n">
        <x:f>D30*100/100</x:f>
        <x:v>85</x:v>
      </x:c>
      <x:c r="K30" t="n">
        <x:f>D30*200/100</x:f>
        <x:v>170</x:v>
      </x:c>
      <x:c r="L30" t="n">
        <x:f>D30*300/100</x:f>
        <x:v>255</x:v>
      </x:c>
      <x:c r="M30" t="n">
        <x:f>D30*400/100</x:f>
        <x:v>340</x:v>
      </x:c>
    </x:row>
    <x:row r="31">
      <x:c r="A31" t="str">
        <x:v>186 U</x:v>
      </x:c>
      <x:c r="B31" t="str">
        <x:v>DRAFT - suggested from 185 U base</x:v>
      </x:c>
      <x:c r="C31" t="str">
        <x:v>Rubine Red</x:v>
      </x:c>
      <x:c r="D31" t="n">
        <x:v>10</x:v>
      </x:c>
      <x:c r="E31" t="n">
        <x:f>D31*5/100</x:f>
        <x:v>0.5</x:v>
      </x:c>
      <x:c r="F31" t="n">
        <x:f>D31*10/100</x:f>
        <x:v>1</x:v>
      </x:c>
      <x:c r="G31" t="n">
        <x:f>D31*15/100</x:f>
        <x:v>1.5</x:v>
      </x:c>
      <x:c r="H31" t="n">
        <x:f>D31*20/100</x:f>
        <x:v>2</x:v>
      </x:c>
      <x:c r="I31" t="n">
        <x:f>D31*50/100</x:f>
        <x:v>5</x:v>
      </x:c>
      <x:c r="J31" t="n">
        <x:f>D31*100/100</x:f>
        <x:v>10</x:v>
      </x:c>
      <x:c r="K31" t="n">
        <x:f>D31*200/100</x:f>
        <x:v>20</x:v>
      </x:c>
      <x:c r="L31" t="n">
        <x:f>D31*300/100</x:f>
        <x:v>30</x:v>
      </x:c>
      <x:c r="M31" t="n">
        <x:f>D31*400/100</x:f>
        <x:v>40</x:v>
      </x:c>
    </x:row>
    <x:row r="32">
      <x:c r="A32" t="str">
        <x:v>186 U</x:v>
      </x:c>
      <x:c r="B32" t="str">
        <x:v>DRAFT - suggested from 185 U base</x:v>
      </x:c>
      <x:c r="C32" t="str">
        <x:v>23 Red 22</x:v>
      </x:c>
      <x:c r="D32" t="n">
        <x:v>5</x:v>
      </x:c>
      <x:c r="E32" t="n">
        <x:f>D32*5/100</x:f>
        <x:v>0.25</x:v>
      </x:c>
      <x:c r="F32" t="n">
        <x:f>D32*10/100</x:f>
        <x:v>0.5</x:v>
      </x:c>
      <x:c r="G32" t="n">
        <x:f>D32*15/100</x:f>
        <x:v>0.75</x:v>
      </x:c>
      <x:c r="H32" t="n">
        <x:f>D32*20/100</x:f>
        <x:v>1</x:v>
      </x:c>
      <x:c r="I32" t="n">
        <x:f>D32*50/100</x:f>
        <x:v>2.5</x:v>
      </x:c>
      <x:c r="J32" t="n">
        <x:f>D32*100/100</x:f>
        <x:v>5</x:v>
      </x:c>
      <x:c r="K32" t="n">
        <x:f>D32*200/100</x:f>
        <x:v>10</x:v>
      </x:c>
      <x:c r="L32" t="n">
        <x:f>D32*300/100</x:f>
        <x:v>15</x:v>
      </x:c>
      <x:c r="M32" t="n">
        <x:f>D32*400/100</x:f>
        <x:v>20</x:v>
      </x:c>
    </x:row>
    <x:row r="33">
      <x:c r="A33" t="str">
        <x:v>2582 U</x:v>
      </x:c>
      <x:c r="B33" t="str">
        <x:v>HOLD - use INX buckets first</x:v>
      </x:c>
      <x:c r="C33" t="str">
        <x:v>INX premade 2582 U</x:v>
      </x:c>
      <x:c r="D33" t="n">
        <x:v>100</x:v>
      </x:c>
      <x:c r="E33" t="n">
        <x:f>D33*5/100</x:f>
        <x:v>5</x:v>
      </x:c>
      <x:c r="F33" t="n">
        <x:f>D33*10/100</x:f>
        <x:v>10</x:v>
      </x:c>
      <x:c r="G33" t="n">
        <x:f>D33*15/100</x:f>
        <x:v>15</x:v>
      </x:c>
      <x:c r="H33" t="n">
        <x:f>D33*20/100</x:f>
        <x:v>20</x:v>
      </x:c>
      <x:c r="I33" t="n">
        <x:f>D33*50/100</x:f>
        <x:v>50</x:v>
      </x:c>
      <x:c r="J33" t="n">
        <x:f>D33*100/100</x:f>
        <x:v>100</x:v>
      </x:c>
      <x:c r="K33" t="n">
        <x:f>D33*200/100</x:f>
        <x:v>200</x:v>
      </x:c>
      <x:c r="L33" t="n">
        <x:f>D33*300/100</x:f>
        <x:v>300</x:v>
      </x:c>
      <x:c r="M33" t="n">
        <x:f>D33*400/100</x:f>
        <x:v>400</x:v>
      </x:c>
    </x:row>
    <x:row r="34">
      <x:c r="A34" t="str">
        <x:v>2582 U</x:v>
      </x:c>
      <x:c r="B34" t="str">
        <x:v>REFERENCE ONLY - Pantone card components not shop equivalents</x:v>
      </x:c>
      <x:c r="C34" t="str">
        <x:v>Real Purple</x:v>
      </x:c>
      <x:c r="D34" t="n">
        <x:v>24.31</x:v>
      </x:c>
      <x:c r="E34" t="n">
        <x:f>D34*5/100</x:f>
        <x:v>1.2155</x:v>
      </x:c>
      <x:c r="F34" t="n">
        <x:f>D34*10/100</x:f>
        <x:v>2.431</x:v>
      </x:c>
      <x:c r="G34" t="n">
        <x:f>D34*15/100</x:f>
        <x:v>3.6464999999999996</x:v>
      </x:c>
      <x:c r="H34" t="n">
        <x:f>D34*20/100</x:f>
        <x:v>4.862</x:v>
      </x:c>
      <x:c r="I34" t="n">
        <x:f>D34*50/100</x:f>
        <x:v>12.155</x:v>
      </x:c>
      <x:c r="J34" t="n">
        <x:f>D34*100/100</x:f>
        <x:v>24.31</x:v>
      </x:c>
      <x:c r="K34" t="n">
        <x:f>D34*200/100</x:f>
        <x:v>48.62</x:v>
      </x:c>
      <x:c r="L34" t="n">
        <x:f>D34*300/100</x:f>
        <x:v>72.93</x:v>
      </x:c>
      <x:c r="M34" t="n">
        <x:f>D34*400/100</x:f>
        <x:v>97.24</x:v>
      </x:c>
    </x:row>
    <x:row r="35">
      <x:c r="A35" t="str">
        <x:v>2582 U</x:v>
      </x:c>
      <x:c r="B35" t="str">
        <x:v>REFERENCE ONLY - Pantone card components not shop equivalents</x:v>
      </x:c>
      <x:c r="C35" t="str">
        <x:v>Violet V2</x:v>
      </x:c>
      <x:c r="D35" t="n">
        <x:v>8.9</x:v>
      </x:c>
      <x:c r="E35" t="n">
        <x:f>D35*5/100</x:f>
        <x:v>0.445</x:v>
      </x:c>
      <x:c r="F35" t="n">
        <x:f>D35*10/100</x:f>
        <x:v>0.89</x:v>
      </x:c>
      <x:c r="G35" t="n">
        <x:f>D35*15/100</x:f>
        <x:v>1.335</x:v>
      </x:c>
      <x:c r="H35" t="n">
        <x:f>D35*20/100</x:f>
        <x:v>1.78</x:v>
      </x:c>
      <x:c r="I35" t="n">
        <x:f>D35*50/100</x:f>
        <x:v>4.45</x:v>
      </x:c>
      <x:c r="J35" t="n">
        <x:f>D35*100/100</x:f>
        <x:v>8.9</x:v>
      </x:c>
      <x:c r="K35" t="n">
        <x:f>D35*200/100</x:f>
        <x:v>17.8</x:v>
      </x:c>
      <x:c r="L35" t="n">
        <x:f>D35*300/100</x:f>
        <x:v>26.7</x:v>
      </x:c>
      <x:c r="M35" t="n">
        <x:f>D35*400/100</x:f>
        <x:v>35.6</x:v>
      </x:c>
    </x:row>
    <x:row r="36">
      <x:c r="A36" t="str">
        <x:v>2582 U</x:v>
      </x:c>
      <x:c r="B36" t="str">
        <x:v>REFERENCE ONLY - Pantone card components not shop equivalents</x:v>
      </x:c>
      <x:c r="C36" t="str">
        <x:v>Trans. Wt. / Extender</x:v>
      </x:c>
      <x:c r="D36" t="n">
        <x:v>66.79</x:v>
      </x:c>
      <x:c r="E36" t="n">
        <x:f>D36*5/100</x:f>
        <x:v>3.3395000000000006</x:v>
      </x:c>
      <x:c r="F36" t="n">
        <x:f>D36*10/100</x:f>
        <x:v>6.679000000000001</x:v>
      </x:c>
      <x:c r="G36" t="n">
        <x:f>D36*15/100</x:f>
        <x:v>10.018500000000001</x:v>
      </x:c>
      <x:c r="H36" t="n">
        <x:f>D36*20/100</x:f>
        <x:v>13.358000000000002</x:v>
      </x:c>
      <x:c r="I36" t="n">
        <x:f>D36*50/100</x:f>
        <x:v>33.395</x:v>
      </x:c>
      <x:c r="J36" t="n">
        <x:f>D36*100/100</x:f>
        <x:v>66.79</x:v>
      </x:c>
      <x:c r="K36" t="n">
        <x:f>D36*200/100</x:f>
        <x:v>133.58</x:v>
      </x:c>
      <x:c r="L36" t="n">
        <x:f>D36*300/100</x:f>
        <x:v>200.37000000000003</x:v>
      </x:c>
      <x:c r="M36" t="n">
        <x:f>D36*400/100</x:f>
        <x:v>267.16</x:v>
      </x:c>
    </x:row>
    <x:row r="37">
      <x:c r="A37" t="str">
        <x:v>4141 U</x:v>
      </x:c>
      <x:c r="B37" t="str">
        <x:v>REFERENCE ONLY - no final shop weights captured</x:v>
      </x:c>
      <x:c r="C37" t="str">
        <x:v>Pro Blue</x:v>
      </x:c>
      <x:c r="D37" t="n">
        <x:v>14.45</x:v>
      </x:c>
      <x:c r="E37" t="n">
        <x:f>D37*5/100</x:f>
        <x:v>0.7225</x:v>
      </x:c>
      <x:c r="F37" t="n">
        <x:f>D37*10/100</x:f>
        <x:v>1.445</x:v>
      </x:c>
      <x:c r="G37" t="n">
        <x:f>D37*15/100</x:f>
        <x:v>2.1675</x:v>
      </x:c>
      <x:c r="H37" t="n">
        <x:f>D37*20/100</x:f>
        <x:v>2.89</x:v>
      </x:c>
      <x:c r="I37" t="n">
        <x:f>D37*50/100</x:f>
        <x:v>7.225</x:v>
      </x:c>
      <x:c r="J37" t="n">
        <x:f>D37*100/100</x:f>
        <x:v>14.45</x:v>
      </x:c>
      <x:c r="K37" t="n">
        <x:f>D37*200/100</x:f>
        <x:v>28.9</x:v>
      </x:c>
      <x:c r="L37" t="n">
        <x:f>D37*300/100</x:f>
        <x:v>43.35</x:v>
      </x:c>
      <x:c r="M37" t="n">
        <x:f>D37*400/100</x:f>
        <x:v>57.8</x:v>
      </x:c>
    </x:row>
    <x:row r="38">
      <x:c r="A38" t="str">
        <x:v>4141 U</x:v>
      </x:c>
      <x:c r="B38" t="str">
        <x:v>REFERENCE ONLY - no final shop weights captured</x:v>
      </x:c>
      <x:c r="C38" t="str">
        <x:v>Violet V2</x:v>
      </x:c>
      <x:c r="D38" t="n">
        <x:v>14.26</x:v>
      </x:c>
      <x:c r="E38" t="n">
        <x:f>D38*5/100</x:f>
        <x:v>0.713</x:v>
      </x:c>
      <x:c r="F38" t="n">
        <x:f>D38*10/100</x:f>
        <x:v>1.426</x:v>
      </x:c>
      <x:c r="G38" t="n">
        <x:f>D38*15/100</x:f>
        <x:v>2.1390000000000002</x:v>
      </x:c>
      <x:c r="H38" t="n">
        <x:f>D38*20/100</x:f>
        <x:v>2.852</x:v>
      </x:c>
      <x:c r="I38" t="n">
        <x:f>D38*50/100</x:f>
        <x:v>7.13</x:v>
      </x:c>
      <x:c r="J38" t="n">
        <x:f>D38*100/100</x:f>
        <x:v>14.26</x:v>
      </x:c>
      <x:c r="K38" t="n">
        <x:f>D38*200/100</x:f>
        <x:v>28.52</x:v>
      </x:c>
      <x:c r="L38" t="n">
        <x:f>D38*300/100</x:f>
        <x:v>42.78</x:v>
      </x:c>
      <x:c r="M38" t="n">
        <x:f>D38*400/100</x:f>
        <x:v>57.04</x:v>
      </x:c>
    </x:row>
    <x:row r="39">
      <x:c r="A39" t="str">
        <x:v>4141 U</x:v>
      </x:c>
      <x:c r="B39" t="str">
        <x:v>REFERENCE ONLY - no final shop weights captured</x:v>
      </x:c>
      <x:c r="C39" t="str">
        <x:v>Black</x:v>
      </x:c>
      <x:c r="D39" t="n">
        <x:v>3.35</x:v>
      </x:c>
      <x:c r="E39" t="n">
        <x:f>D39*5/100</x:f>
        <x:v>0.1675</x:v>
      </x:c>
      <x:c r="F39" t="n">
        <x:f>D39*10/100</x:f>
        <x:v>0.335</x:v>
      </x:c>
      <x:c r="G39" t="n">
        <x:f>D39*15/100</x:f>
        <x:v>0.5025</x:v>
      </x:c>
      <x:c r="H39" t="n">
        <x:f>D39*20/100</x:f>
        <x:v>0.67</x:v>
      </x:c>
      <x:c r="I39" t="n">
        <x:f>D39*50/100</x:f>
        <x:v>1.675</x:v>
      </x:c>
      <x:c r="J39" t="n">
        <x:f>D39*100/100</x:f>
        <x:v>3.35</x:v>
      </x:c>
      <x:c r="K39" t="n">
        <x:f>D39*200/100</x:f>
        <x:v>6.7</x:v>
      </x:c>
      <x:c r="L39" t="n">
        <x:f>D39*300/100</x:f>
        <x:v>10.05</x:v>
      </x:c>
      <x:c r="M39" t="n">
        <x:f>D39*400/100</x:f>
        <x:v>13.4</x:v>
      </x:c>
    </x:row>
    <x:row r="40">
      <x:c r="A40" t="str">
        <x:v>4141 U</x:v>
      </x:c>
      <x:c r="B40" t="str">
        <x:v>REFERENCE ONLY - no final shop weights captured</x:v>
      </x:c>
      <x:c r="C40" t="str">
        <x:v>Trans. Wt. / Extender</x:v>
      </x:c>
      <x:c r="D40" t="n">
        <x:v>67.94</x:v>
      </x:c>
      <x:c r="E40" t="n">
        <x:f>D40*5/100</x:f>
        <x:v>3.397</x:v>
      </x:c>
      <x:c r="F40" t="n">
        <x:f>D40*10/100</x:f>
        <x:v>6.794</x:v>
      </x:c>
      <x:c r="G40" t="n">
        <x:f>D40*15/100</x:f>
        <x:v>10.190999999999999</x:v>
      </x:c>
      <x:c r="H40" t="n">
        <x:f>D40*20/100</x:f>
        <x:v>13.588</x:v>
      </x:c>
      <x:c r="I40" t="n">
        <x:f>D40*50/100</x:f>
        <x:v>33.97</x:v>
      </x:c>
      <x:c r="J40" t="n">
        <x:f>D40*100/100</x:f>
        <x:v>67.94</x:v>
      </x:c>
      <x:c r="K40" t="n">
        <x:f>D40*200/100</x:f>
        <x:v>135.88</x:v>
      </x:c>
      <x:c r="L40" t="n">
        <x:f>D40*300/100</x:f>
        <x:v>203.82</x:v>
      </x:c>
      <x:c r="M40" t="n">
        <x:f>D40*400/100</x:f>
        <x:v>271.76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6094f276721642a4"/>
  </x:tableParts>
</x:worksheet>
</file>